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verages by Year" sheetId="1" state="visible" r:id="rId1"/>
    <sheet xmlns:r="http://schemas.openxmlformats.org/officeDocument/2006/relationships" name="Deal at a Glance" sheetId="2" state="visible" r:id="rId2"/>
    <sheet xmlns:r="http://schemas.openxmlformats.org/officeDocument/2006/relationships" name="Notes" sheetId="3" state="visible" r:id="rId3"/>
  </sheets>
  <definedNames>
    <definedName name="_xlnm._FilterDatabase" localSheetId="1" hidden="1">'Deal at a Glance'!$A$4:$O$34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4">
    <numFmt numFmtId="164" formatCode="mmm\ yyyy"/>
    <numFmt numFmtId="165" formatCode="0.0\x"/>
    <numFmt numFmtId="166" formatCode="0.00\x"/>
    <numFmt numFmtId="167" formatCode="0.0%"/>
  </numFmts>
  <fonts count="10">
    <font>
      <name val="Calibri"/>
      <charset val="1"/>
      <family val="2"/>
      <color theme="1"/>
      <sz val="11"/>
    </font>
    <font>
      <name val="Arial"/>
      <charset val="1"/>
      <b val="1"/>
      <sz val="14"/>
    </font>
    <font>
      <name val="Arial"/>
      <charset val="1"/>
      <i val="1"/>
      <sz val="9"/>
    </font>
    <font>
      <name val="Arial"/>
      <charset val="1"/>
      <b val="1"/>
      <color rgb="FFFFFFFF"/>
      <sz val="11"/>
    </font>
    <font>
      <name val="Arial"/>
      <charset val="1"/>
      <b val="1"/>
      <sz val="11"/>
    </font>
    <font>
      <name val="Arial"/>
      <charset val="1"/>
      <color rgb="FF000000"/>
      <sz val="11"/>
    </font>
    <font>
      <name val="Arial"/>
      <charset val="1"/>
      <color rgb="FF0000FF"/>
      <sz val="11"/>
    </font>
    <font>
      <name val="Arial"/>
      <charset val="1"/>
      <b val="1"/>
      <sz val="12"/>
    </font>
    <font>
      <name val="Arial"/>
      <charset val="1"/>
      <sz val="11"/>
    </font>
    <font>
      <name val="Arial"/>
      <charset val="1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2F2F2"/>
        <bgColor rgb="FFF9F9F9"/>
      </patternFill>
    </fill>
  </fills>
  <borders count="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5" fillId="0" borderId="1" pivotButton="0" quotePrefix="0" xfId="0"/>
    <xf numFmtId="164" fontId="5" fillId="0" borderId="1" applyAlignment="1" pivotButton="0" quotePrefix="0" xfId="0">
      <alignment horizontal="center"/>
    </xf>
    <xf numFmtId="3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167" fontId="6" fillId="0" borderId="1" pivotButton="0" quotePrefix="0" xfId="0"/>
    <xf numFmtId="0" fontId="4" fillId="4" borderId="2" pivotButton="0" quotePrefix="0" xfId="0"/>
    <xf numFmtId="3" fontId="4" fillId="4" borderId="2" pivotButton="0" quotePrefix="0" xfId="0"/>
    <xf numFmtId="165" fontId="4" fillId="4" borderId="2" pivotButton="0" quotePrefix="0" xfId="0"/>
    <xf numFmtId="166" fontId="4" fillId="4" borderId="2" pivotButton="0" quotePrefix="0" xfId="0"/>
    <xf numFmtId="167" fontId="4" fillId="4" borderId="2" pivotButton="0" quotePrefix="0" xfId="0"/>
    <xf numFmtId="0" fontId="4" fillId="0" borderId="3" pivotButton="0" quotePrefix="0" xfId="0"/>
    <xf numFmtId="3" fontId="4" fillId="0" borderId="3" pivotButton="0" quotePrefix="0" xfId="0"/>
    <xf numFmtId="165" fontId="4" fillId="0" borderId="3" pivotButton="0" quotePrefix="0" xfId="0"/>
    <xf numFmtId="166" fontId="4" fillId="0" borderId="3" pivotButton="0" quotePrefix="0" xfId="0"/>
    <xf numFmtId="167" fontId="4" fillId="0" borderId="3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8" fillId="0" borderId="1" applyAlignment="1" pivotButton="0" quotePrefix="0" xfId="0">
      <alignment horizontal="center"/>
    </xf>
    <xf numFmtId="3" fontId="8" fillId="0" borderId="1" pivotButton="0" quotePrefix="0" xfId="0"/>
    <xf numFmtId="165" fontId="8" fillId="0" borderId="1" pivotButton="0" quotePrefix="0" xfId="0"/>
    <xf numFmtId="166" fontId="8" fillId="0" borderId="1" pivotButton="0" quotePrefix="0" xfId="0"/>
    <xf numFmtId="167" fontId="8" fillId="0" borderId="1" pivotButton="0" quotePrefix="0" xfId="0"/>
    <xf numFmtId="0" fontId="4" fillId="0" borderId="2" pivotButton="0" quotePrefix="0" xfId="0"/>
    <xf numFmtId="0" fontId="4" fillId="0" borderId="2" applyAlignment="1" pivotButton="0" quotePrefix="0" xfId="0">
      <alignment horizontal="center"/>
    </xf>
    <xf numFmtId="0" fontId="8" fillId="0" borderId="1" applyAlignment="1" pivotButton="0" quotePrefix="0" xfId="0">
      <alignment vertical="top"/>
    </xf>
    <xf numFmtId="164" fontId="8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164" fontId="8" fillId="0" borderId="1" pivotButton="0" quotePrefix="0" xfId="0"/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Net and total leverage by industry (x)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'Averages by Year'!F47</f>
              <strCache>
                <ptCount val="1"/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'Averages by Year'!$A$48:$A$53</f>
              <strCache>
                <ptCount val="6"/>
              </strCache>
            </strRef>
          </cat>
          <val>
            <numRef>
              <f>'Averages by Year'!$F$48:$F$53</f>
              <numCache>
                <formatCode>0.00\x</formatCode>
                <ptCount val="6"/>
              </numCache>
            </numRef>
          </val>
        </ser>
        <ser>
          <idx val="1"/>
          <order val="1"/>
          <tx>
            <strRef>
              <f>'Averages by Year'!G47</f>
              <strCache>
                <ptCount val="1"/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'Averages by Year'!$A$48:$A$53</f>
              <strCache>
                <ptCount val="6"/>
              </strCache>
            </strRef>
          </cat>
          <val>
            <numRef>
              <f>'Averages by Year'!$G$48:$G$53</f>
              <numCache>
                <formatCode>0.00\x</formatCode>
                <ptCount val="6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89875470"/>
        <axId val="15480874"/>
      </barChart>
      <catAx>
        <axId val="8987547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15480874"/>
        <crosses val="autoZero"/>
        <auto val="1"/>
        <lblAlgn val="ctr"/>
        <lblOffset val="100"/>
        <noMultiLvlLbl val="0"/>
      </catAx>
      <valAx>
        <axId val="1548087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8987547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EV / EBITDA by industry (x)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'Averages by Year'!E47</f>
              <strCache>
                <ptCount val="1"/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'Averages by Year'!$A$48:$A$53</f>
              <strCache>
                <ptCount val="6"/>
              </strCache>
            </strRef>
          </cat>
          <val>
            <numRef>
              <f>'Averages by Year'!$E$48:$E$53</f>
              <numCache>
                <formatCode>0.0\x</formatCode>
                <ptCount val="6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73948705"/>
        <axId val="38150366"/>
      </barChart>
      <catAx>
        <axId val="7394870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38150366"/>
        <crosses val="autoZero"/>
        <auto val="1"/>
        <lblAlgn val="ctr"/>
        <lblOffset val="100"/>
        <noMultiLvlLbl val="0"/>
      </catAx>
      <valAx>
        <axId val="3815036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73948705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First lien LTV and sponsor equity by industry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'Averages by Year'!H47</f>
              <strCache>
                <ptCount val="1"/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'Averages by Year'!$A$48:$A$53</f>
              <strCache>
                <ptCount val="6"/>
              </strCache>
            </strRef>
          </cat>
          <val>
            <numRef>
              <f>'Averages by Year'!$H$48:$H$53</f>
              <numCache>
                <formatCode>0.0%</formatCode>
                <ptCount val="6"/>
              </numCache>
            </numRef>
          </val>
        </ser>
        <ser>
          <idx val="1"/>
          <order val="1"/>
          <tx>
            <strRef>
              <f>'Averages by Year'!I47</f>
              <strCache>
                <ptCount val="1"/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'Averages by Year'!$A$48:$A$53</f>
              <strCache>
                <ptCount val="6"/>
              </strCache>
            </strRef>
          </cat>
          <val>
            <numRef>
              <f>'Averages by Year'!$I$48:$I$53</f>
              <numCache>
                <formatCode>0.0%</formatCode>
                <ptCount val="6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4347529"/>
        <axId val="49214073"/>
      </barChart>
      <catAx>
        <axId val="9434752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9214073"/>
        <crosses val="autoZero"/>
        <auto val="1"/>
        <lblAlgn val="ctr"/>
        <lblOffset val="100"/>
        <noMultiLvlLbl val="0"/>
      </catAx>
      <valAx>
        <axId val="49214073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94347529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54</row>
      <rowOff>160560</rowOff>
    </from>
    <to>
      <col>3</col>
      <colOff>410400</colOff>
      <row>71</row>
      <rowOff>161640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3</col>
      <colOff>0</colOff>
      <row>54</row>
      <rowOff>160560</rowOff>
    </from>
    <to>
      <col>10</col>
      <colOff>10080</colOff>
      <row>71</row>
      <rowOff>161640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9</col>
      <colOff>0</colOff>
      <row>54</row>
      <rowOff>160560</rowOff>
    </from>
    <to>
      <col>19</col>
      <colOff>4680</colOff>
      <row>71</row>
      <rowOff>161640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tabSelected="1" zoomScaleNormal="100" workbookViewId="0">
      <pane ySplit="4" topLeftCell="A5" activePane="bottomLeft" state="frozen"/>
      <selection pane="bottomLeft" activeCell="A1" sqref="A1"/>
    </sheetView>
  </sheetViews>
  <sheetFormatPr baseColWidth="8" defaultColWidth="8.7109375" defaultRowHeight="15"/>
  <cols>
    <col width="34" customWidth="1" min="1" max="1"/>
    <col width="11" customWidth="1" min="2" max="2"/>
    <col width="36" customWidth="1" min="3" max="3"/>
    <col width="14" customWidth="1" min="4" max="4"/>
    <col width="12" customWidth="1" min="5" max="8"/>
    <col width="16" customWidth="1" min="9" max="9"/>
  </cols>
  <sheetData>
    <row r="1" ht="17.45" customHeight="1">
      <c r="A1" s="1" t="inlineStr">
        <is>
          <t>Deals at a Glance, key metrics with averages by year</t>
        </is>
      </c>
    </row>
    <row r="2">
      <c r="A2" s="2" t="inlineStr">
        <is>
          <t>From Raven's Deal At A Glance. Averages skip deals where Raven shows no value for a metric. See Notes tab.</t>
        </is>
      </c>
    </row>
    <row r="4" ht="31.5" customHeight="1">
      <c r="A4" s="3" t="inlineStr">
        <is>
          <t>Deal</t>
        </is>
      </c>
      <c r="B4" s="3" t="inlineStr">
        <is>
          <t>Date</t>
        </is>
      </c>
      <c r="C4" s="3" t="inlineStr">
        <is>
          <t>GICS Sector</t>
        </is>
      </c>
      <c r="D4" s="3" t="inlineStr">
        <is>
          <t>Enterprise value ($mm)</t>
        </is>
      </c>
      <c r="E4" s="3" t="inlineStr">
        <is>
          <t>EV / EBITDA</t>
        </is>
      </c>
      <c r="F4" s="3" t="inlineStr">
        <is>
          <t>Net leverage</t>
        </is>
      </c>
      <c r="G4" s="3" t="inlineStr">
        <is>
          <t>Total leverage</t>
        </is>
      </c>
      <c r="H4" s="3" t="inlineStr">
        <is>
          <t>First lien LTV</t>
        </is>
      </c>
      <c r="I4" s="3" t="inlineStr">
        <is>
          <t>Sponsor equity / cushion %</t>
        </is>
      </c>
    </row>
    <row r="47" ht="31.5" customHeight="1"/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zoomScaleNormal="100" workbookViewId="0">
      <pane xSplit="1" ySplit="4" topLeftCell="B5" activePane="bottomRight" state="frozen"/>
      <selection pane="bottomRight" activeCell="A1" sqref="A1"/>
      <selection pane="bottomLeft" activeCell="A5" sqref="A5"/>
      <selection pane="topRight" activeCell="B1" sqref="B1"/>
    </sheetView>
  </sheetViews>
  <sheetFormatPr baseColWidth="8" defaultColWidth="8.7109375" defaultRowHeight="15"/>
  <cols>
    <col width="30" customWidth="1" min="1" max="1"/>
    <col width="11" customWidth="1" min="2" max="2"/>
    <col width="34" customWidth="1" min="3" max="3"/>
    <col width="9" customWidth="1" min="4" max="4"/>
    <col width="22" customWidth="1" min="5" max="5"/>
    <col width="24" customWidth="1" min="6" max="6"/>
    <col width="16" customWidth="1" min="7" max="8"/>
    <col width="34" customWidth="1" min="9" max="9"/>
    <col width="38" customWidth="1" min="10" max="10"/>
    <col width="14" customWidth="1" min="11" max="11"/>
    <col width="18" customWidth="1" min="12" max="12"/>
    <col width="22" customWidth="1" min="13" max="13"/>
    <col width="50" customWidth="1" min="14" max="15"/>
    <col width="8" customWidth="1" min="15" max="15"/>
  </cols>
  <sheetData>
    <row r="1" ht="17.45" customHeight="1">
      <c r="A1" s="1" t="inlineStr">
        <is>
          <t>Deals at a Glance, detail as shown in Raven</t>
        </is>
      </c>
    </row>
    <row r="2">
      <c r="A2" s="2" t="inlineStr">
        <is>
          <t>Values are shown as Raven shows them, including the basis and period for each leverage figure. The first tab is parsed from these values.</t>
        </is>
      </c>
    </row>
    <row r="4" ht="31.5" customHeight="1">
      <c r="A4" s="3" t="inlineStr">
        <is>
          <t>Deal</t>
        </is>
      </c>
      <c r="B4" s="3" t="inlineStr">
        <is>
          <t>Date</t>
        </is>
      </c>
      <c r="C4" s="3" t="inlineStr">
        <is>
          <t>GICS Sector</t>
        </is>
      </c>
      <c r="D4" s="3" t="inlineStr">
        <is>
          <t>Currency</t>
        </is>
      </c>
      <c r="E4" s="3" t="inlineStr">
        <is>
          <t>Transaction size</t>
        </is>
      </c>
      <c r="F4" s="3" t="inlineStr">
        <is>
          <t>Enterprise value</t>
        </is>
      </c>
      <c r="G4" s="3" t="inlineStr">
        <is>
          <t>EV / EBITDA</t>
        </is>
      </c>
      <c r="H4" s="3" t="inlineStr">
        <is>
          <t>Total net debt</t>
        </is>
      </c>
      <c r="I4" s="3" t="inlineStr">
        <is>
          <t>Net leverage</t>
        </is>
      </c>
      <c r="J4" s="3" t="inlineStr">
        <is>
          <t>Total leverage</t>
        </is>
      </c>
      <c r="K4" s="3" t="inlineStr">
        <is>
          <t>First lien LTV</t>
        </is>
      </c>
      <c r="L4" s="3" t="inlineStr">
        <is>
          <t>Pro forma cash</t>
        </is>
      </c>
      <c r="M4" s="3" t="inlineStr">
        <is>
          <t>Sponsor equity % / equity cushion</t>
        </is>
      </c>
      <c r="N4" s="3" t="inlineStr">
        <is>
          <t>Other items</t>
        </is>
      </c>
      <c r="O4" s="38" t="n"/>
    </row>
    <row r="6" ht="64.90000000000001" customHeight="1"/>
    <row r="10" ht="26.85" customHeight="1"/>
    <row r="12" ht="26.85" customHeight="1"/>
    <row r="13" ht="26.85" customHeight="1"/>
    <row r="15" ht="26.85" customHeight="1"/>
    <row r="20" ht="52.15" customHeight="1"/>
    <row r="21" ht="26.85" customHeight="1"/>
    <row r="26" ht="26.85" customHeight="1"/>
    <row r="28" ht="52.15" customHeight="1"/>
    <row r="31" ht="64.90000000000001" customHeight="1"/>
    <row r="32" ht="52.15" customHeight="1"/>
  </sheetData>
  <autoFilter ref="A4:O34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ColWidth="8.7109375" defaultRowHeight="15"/>
  <cols>
    <col width="120" customWidth="1" min="1" max="1"/>
  </cols>
  <sheetData>
    <row r="1">
      <c r="A1" s="36" t="inlineStr">
        <is>
          <t>Notes</t>
        </is>
      </c>
    </row>
    <row r="3" ht="23.85" customHeight="1"/>
    <row r="4" ht="23.85" customHeight="1"/>
    <row r="5" ht="23.85" customHeight="1"/>
    <row r="6" ht="23.85" customHeight="1"/>
    <row r="7" ht="35.1" customHeight="1"/>
    <row r="9" ht="46.35" customHeight="1"/>
    <row r="10" ht="23.85" customHeight="1"/>
    <row r="11" ht="23.85" customHeight="1"/>
  </sheetData>
  <pageMargins left="0.75" right="0.75" top="1" bottom="1" header="0.511811023622047" footer="0.511811023622047"/>
  <pageSetup orientation="portrait" paperSize="9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9143079854A54D9892AFDB502399A0" ma:contentTypeVersion="15" ma:contentTypeDescription="Create a new document." ma:contentTypeScope="" ma:versionID="22e601a24562e73b2f5afc1046dcfba6">
  <xsd:schema xmlns:xsd="http://www.w3.org/2001/XMLSchema" xmlns:xs="http://www.w3.org/2001/XMLSchema" xmlns:p="http://schemas.microsoft.com/office/2006/metadata/properties" xmlns:ns2="7945be74-f550-42ae-be50-e20c01470fa8" xmlns:ns3="41866f6e-3c95-4ce7-90cd-084695edabd7" targetNamespace="http://schemas.microsoft.com/office/2006/metadata/properties" ma:root="true" ma:fieldsID="4c891952338fb39d319fedeac18bb4f8" ns2:_="" ns3:_="">
    <xsd:import namespace="7945be74-f550-42ae-be50-e20c01470fa8"/>
    <xsd:import namespace="41866f6e-3c95-4ce7-90cd-084695edab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45be74-f550-42ae-be50-e20c01470f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d09cff7-3085-437c-9583-5564e34a3e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866f6e-3c95-4ce7-90cd-084695edabd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dc2924a-1837-4a5f-9c22-6b8d8f490986}" ma:internalName="TaxCatchAll" ma:showField="CatchAllData" ma:web="41866f6e-3c95-4ce7-90cd-084695edab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866f6e-3c95-4ce7-90cd-084695edabd7" xsi:nil="true"/>
    <lcf76f155ced4ddcb4097134ff3c332f xmlns="7945be74-f550-42ae-be50-e20c01470f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334FE9-4287-425F-829A-F25B1B2BE080}"/>
</file>

<file path=customXml/itemProps2.xml><?xml version="1.0" encoding="utf-8"?>
<ds:datastoreItem xmlns:ds="http://schemas.openxmlformats.org/officeDocument/2006/customXml" ds:itemID="{47B9F026-D2FF-47A2-BC04-9B102922619E}"/>
</file>

<file path=customXml/itemProps3.xml><?xml version="1.0" encoding="utf-8"?>
<ds:datastoreItem xmlns:ds="http://schemas.openxmlformats.org/officeDocument/2006/customXml" ds:itemID="{141AF146-8F78-46BC-8FF5-CE66B344A22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2026-10-22T00:21:46Z</dcterms:created>
  <dcterms:modified xsi:type="dcterms:W3CDTF">2026-10-25T21:37:59Z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0x010100979143079854A54D9892AFDB502399A0</vt:lpwstr>
  </property>
  <property fmtid="{D5CDD505-2E9C-101B-9397-08002B2CF9AE}" pid="3" name="MediaServiceImageTags">
    <vt:lpwstr/>
  </property>
</Properties>
</file>