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turns" sheetId="1" state="visible" r:id="rId1"/>
    <sheet xmlns:r="http://schemas.openxmlformats.org/officeDocument/2006/relationships" name="Curve" sheetId="2" state="visible" r:id="rId2"/>
    <sheet xmlns:r="http://schemas.openxmlformats.org/officeDocument/2006/relationships" name="Sens" sheetId="3" state="hidden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#,##0.00;\(#,##0.00\);\-"/>
    <numFmt numFmtId="165" formatCode="0.00\x"/>
    <numFmt numFmtId="166" formatCode="0.0%"/>
    <numFmt numFmtId="167" formatCode="mmm\ d&quot;, &quot;yyyy"/>
    <numFmt numFmtId="168" formatCode="0.000%"/>
    <numFmt numFmtId="169" formatCode="0.0000%"/>
    <numFmt numFmtId="170" formatCode="0.000\x"/>
    <numFmt numFmtId="171" formatCode="0.000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8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DDEBF7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2" borderId="0" applyAlignment="1" pivotButton="0" quotePrefix="0" xfId="0">
      <alignment horizontal="general" vertical="bottom"/>
    </xf>
    <xf numFmtId="165" fontId="8" fillId="2" borderId="0" applyAlignment="1" pivotButton="0" quotePrefix="0" xfId="0">
      <alignment horizontal="general" vertical="bottom"/>
    </xf>
    <xf numFmtId="1" fontId="8" fillId="2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2" fontId="8" fillId="2" borderId="0" applyAlignment="1" pivotButton="0" quotePrefix="0" xfId="0">
      <alignment horizontal="general" vertical="bottom"/>
    </xf>
    <xf numFmtId="1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0" fontId="8" fillId="2" borderId="0" applyAlignment="1" pivotButton="0" quotePrefix="0" xfId="0">
      <alignment horizontal="general" vertical="bottom"/>
    </xf>
    <xf numFmtId="167" fontId="8" fillId="2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1" fontId="9" fillId="3" borderId="0" applyAlignment="1" pivotButton="0" quotePrefix="0" xfId="0">
      <alignment horizontal="center" vertical="bottom"/>
    </xf>
    <xf numFmtId="168" fontId="10" fillId="0" borderId="0" applyAlignment="1" pivotButton="0" quotePrefix="0" xfId="0">
      <alignment horizontal="general" vertical="bottom"/>
    </xf>
    <xf numFmtId="168" fontId="7" fillId="0" borderId="0" applyAlignment="1" pivotButton="0" quotePrefix="0" xfId="0">
      <alignment horizontal="general" vertical="bottom"/>
    </xf>
    <xf numFmtId="164" fontId="6" fillId="4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bottom"/>
    </xf>
    <xf numFmtId="169" fontId="7" fillId="0" borderId="0" applyAlignment="1" pivotButton="0" quotePrefix="0" xfId="0">
      <alignment horizontal="general" vertical="bottom"/>
    </xf>
    <xf numFmtId="10" fontId="6" fillId="0" borderId="0" applyAlignment="1" pivotButton="0" quotePrefix="0" xfId="0">
      <alignment horizontal="general" vertical="bottom"/>
    </xf>
    <xf numFmtId="170" fontId="6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165" fontId="9" fillId="3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168" fontId="8" fillId="2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171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2" borderId="0" applyAlignment="1" pivotButton="0" quotePrefix="0" xfId="0">
      <alignment horizontal="general" vertical="bottom"/>
    </xf>
    <xf numFmtId="165" fontId="8" fillId="2" borderId="0" applyAlignment="1" pivotButton="0" quotePrefix="0" xfId="0">
      <alignment horizontal="general" vertical="bottom"/>
    </xf>
    <xf numFmtId="1" fontId="8" fillId="2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2" fontId="8" fillId="2" borderId="0" applyAlignment="1" pivotButton="0" quotePrefix="0" xfId="0">
      <alignment horizontal="general" vertical="bottom"/>
    </xf>
    <xf numFmtId="1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0" fontId="8" fillId="2" borderId="0" applyAlignment="1" pivotButton="0" quotePrefix="0" xfId="0">
      <alignment horizontal="general" vertical="bottom"/>
    </xf>
    <xf numFmtId="167" fontId="8" fillId="2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general" vertical="bottom"/>
    </xf>
    <xf numFmtId="1" fontId="9" fillId="3" borderId="0" applyAlignment="1" pivotButton="0" quotePrefix="0" xfId="0">
      <alignment horizontal="center" vertical="bottom"/>
    </xf>
    <xf numFmtId="168" fontId="10" fillId="0" borderId="0" applyAlignment="1" pivotButton="0" quotePrefix="0" xfId="0">
      <alignment horizontal="general" vertical="bottom"/>
    </xf>
    <xf numFmtId="168" fontId="7" fillId="0" borderId="0" applyAlignment="1" pivotButton="0" quotePrefix="0" xfId="0">
      <alignment horizontal="general" vertical="bottom"/>
    </xf>
    <xf numFmtId="164" fontId="6" fillId="4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bottom"/>
    </xf>
    <xf numFmtId="169" fontId="7" fillId="0" borderId="0" applyAlignment="1" pivotButton="0" quotePrefix="0" xfId="0">
      <alignment horizontal="general" vertical="bottom"/>
    </xf>
    <xf numFmtId="10" fontId="6" fillId="0" borderId="0" applyAlignment="1" pivotButton="0" quotePrefix="0" xfId="0">
      <alignment horizontal="general" vertical="bottom"/>
    </xf>
    <xf numFmtId="170" fontId="6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165" fontId="9" fillId="3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168" fontId="8" fillId="2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2" fontId="7" fillId="0" borderId="0" applyAlignment="1" pivotButton="0" quotePrefix="0" xfId="0">
      <alignment horizontal="general" vertical="bottom"/>
    </xf>
    <xf numFmtId="171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W7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8" topLeftCell="C19" activePane="bottomRight" state="frozen"/>
      <selection pane="topLeft" activeCell="A1" activeCellId="0" sqref="A1"/>
      <selection pane="topRight" activeCell="C1" activeCellId="0" sqref="C1"/>
      <selection pane="bottomLeft" activeCell="A19" activeCellId="0" sqref="A19"/>
      <selection pane="bottomRight" activeCell="A1" activeCellId="0" sqref="A1"/>
    </sheetView>
  </sheetViews>
  <sheetFormatPr baseColWidth="8" defaultColWidth="8.6796875" defaultRowHeight="15" zeroHeight="0" outlineLevelRow="0"/>
  <cols>
    <col width="2" customWidth="1" style="30" min="1" max="1"/>
    <col width="52" customWidth="1" style="30" min="2" max="2"/>
    <col width="14" customWidth="1" style="30" min="3" max="3"/>
    <col width="11" customWidth="1" style="30" min="4" max="23"/>
  </cols>
  <sheetData>
    <row r="2" ht="17.35" customHeight="1" s="31">
      <c r="B2" s="32" t="inlineStr">
        <is>
          <t>Levered and unlevered returns — single loan tranche, quarterly</t>
        </is>
      </c>
    </row>
    <row r="3" ht="15" customHeight="1" s="31">
      <c r="B3" s="33" t="inlineStr">
        <is>
          <t>Blue cells are editable inputs (example values shown). Every line a chat render shows is its own cell. Interest = beginning balance x rate / 4.</t>
        </is>
      </c>
    </row>
    <row r="5" ht="15" customHeight="1" s="31">
      <c r="B5" s="34" t="inlineStr">
        <is>
          <t>Investment terms</t>
        </is>
      </c>
      <c r="H5" s="34" t="inlineStr">
        <is>
          <t>Leverage</t>
        </is>
      </c>
    </row>
    <row r="6" ht="15" customHeight="1" s="31">
      <c r="B6" s="35" t="inlineStr">
        <is>
          <t>Face amount ($MM)</t>
        </is>
      </c>
      <c r="C6" s="36" t="n">
        <v>100</v>
      </c>
      <c r="H6" s="35" t="inlineStr">
        <is>
          <t>Leverage (X of equity) — 1.0x = dollar-for-dollar</t>
        </is>
      </c>
      <c r="I6" s="37" t="n">
        <v>1</v>
      </c>
    </row>
    <row r="7" ht="15" customHeight="1" s="31">
      <c r="B7" s="35" t="inlineStr">
        <is>
          <t>Loan spread over SOFR (bps)</t>
        </is>
      </c>
      <c r="C7" s="38" t="n">
        <v>600</v>
      </c>
      <c r="H7" s="35" t="inlineStr">
        <is>
          <t>Implied advance rate</t>
        </is>
      </c>
      <c r="I7" s="39">
        <f>I6/(1+I6)</f>
        <v/>
      </c>
    </row>
    <row r="8" ht="15" customHeight="1" s="31">
      <c r="B8" s="35" t="inlineStr">
        <is>
          <t>Issue price / OID (100 = no discount; 98 = 2% discount)</t>
        </is>
      </c>
      <c r="C8" s="40" t="n">
        <v>98</v>
      </c>
      <c r="D8" s="41">
        <f>1-C8/100</f>
        <v/>
      </c>
      <c r="E8" s="33" t="inlineStr">
        <is>
          <t>OID discount</t>
        </is>
      </c>
      <c r="H8" s="35" t="inlineStr">
        <is>
          <t>Leverage spread over SOFR (bps)</t>
        </is>
      </c>
      <c r="I8" s="38" t="n">
        <v>300</v>
      </c>
    </row>
    <row r="9" ht="15" customHeight="1" s="31">
      <c r="B9" s="35" t="inlineStr">
        <is>
          <t>Hold period (quarters, 1 to 20)</t>
        </is>
      </c>
      <c r="C9" s="38" t="n">
        <v>12</v>
      </c>
      <c r="H9" s="35" t="inlineStr">
        <is>
          <t>Financing line at close ($MM)</t>
        </is>
      </c>
      <c r="I9" s="42">
        <f>C6*(1-D8)*I7</f>
        <v/>
      </c>
    </row>
    <row r="10" ht="15" customHeight="1" s="31">
      <c r="B10" s="35" t="inlineStr">
        <is>
          <t>PIK period (quarters; 0 = none)</t>
        </is>
      </c>
      <c r="C10" s="38" t="n">
        <v>0</v>
      </c>
      <c r="H10" s="33" t="inlineStr">
        <is>
          <t>Financing line = advance rate x funded amount (face less OID). It is paid down pro rata with the loan's scheduled principal repayments and the remainder is repaid at exit. PIK interest does not change it.</t>
        </is>
      </c>
    </row>
    <row r="11" ht="15" customHeight="1" s="31">
      <c r="B11" s="35" t="inlineStr">
        <is>
          <t>Amortization (% of original face per year)</t>
        </is>
      </c>
      <c r="C11" s="43" t="n">
        <v>0.01</v>
      </c>
      <c r="H11" s="33" t="inlineStr">
        <is>
          <t>No amortization is paid during a PIK period. PIK interest is added to the loan balance at the loan's all-in rate.</t>
        </is>
      </c>
    </row>
    <row r="12" ht="15" customHeight="1" s="31">
      <c r="B12" s="35" t="inlineStr">
        <is>
          <t>Exit price (% of par; 100 = par)</t>
        </is>
      </c>
      <c r="C12" s="40" t="n">
        <v>100</v>
      </c>
    </row>
    <row r="13" ht="15" customHeight="1" s="31">
      <c r="B13" s="35" t="inlineStr">
        <is>
          <t>Funding date</t>
        </is>
      </c>
      <c r="C13" s="44" t="n">
        <v>46295</v>
      </c>
    </row>
    <row r="14" ht="15" customHeight="1" s="31">
      <c r="B14" s="35" t="inlineStr">
        <is>
          <t>Curve shift (quarters; nearest quarter start to the funding date)</t>
        </is>
      </c>
      <c r="C14" s="45">
        <f>IF(C13&lt;Curve!$D$6,0,MAX(0,ROUND(((YEAR(C13)-YEAR(Curve!$D$6))*12+MONTH(C13)-MONTH(Curve!$D$6))/3,0)))</f>
        <v/>
      </c>
    </row>
    <row r="15" ht="15" customHeight="1" s="31">
      <c r="B15" s="35" t="inlineStr">
        <is>
          <t>Curve status</t>
        </is>
      </c>
      <c r="C15" s="35">
        <f>IF(C13&lt;Curve!$D$6,"Funding date is before the curve date; curve applied from quarter 1 regardless",IF(C14+C9&gt;20,"Curve runs out after quarter "&amp;(20-C14)&amp;"; last rate held flat","Curve covers the full hold"))</f>
        <v/>
      </c>
    </row>
    <row r="18" ht="15" customHeight="1" s="31">
      <c r="B18" s="34" t="inlineStr">
        <is>
          <t>Quarterly engine</t>
        </is>
      </c>
    </row>
    <row r="19" ht="15" customHeight="1" s="31">
      <c r="B19" s="34" t="inlineStr">
        <is>
          <t>Quarter</t>
        </is>
      </c>
      <c r="C19" s="46" t="n">
        <v>0</v>
      </c>
      <c r="D19" s="46" t="n">
        <v>1</v>
      </c>
      <c r="E19" s="46" t="n">
        <v>2</v>
      </c>
      <c r="F19" s="46" t="n">
        <v>3</v>
      </c>
      <c r="G19" s="46" t="n">
        <v>4</v>
      </c>
      <c r="H19" s="46" t="n">
        <v>5</v>
      </c>
      <c r="I19" s="46" t="n">
        <v>6</v>
      </c>
      <c r="J19" s="46" t="n">
        <v>7</v>
      </c>
      <c r="K19" s="46" t="n">
        <v>8</v>
      </c>
      <c r="L19" s="46" t="n">
        <v>9</v>
      </c>
      <c r="M19" s="46" t="n">
        <v>10</v>
      </c>
      <c r="N19" s="46" t="n">
        <v>11</v>
      </c>
      <c r="O19" s="46" t="n">
        <v>12</v>
      </c>
      <c r="P19" s="46" t="n">
        <v>13</v>
      </c>
      <c r="Q19" s="46" t="n">
        <v>14</v>
      </c>
      <c r="R19" s="46" t="n">
        <v>15</v>
      </c>
      <c r="S19" s="46" t="n">
        <v>16</v>
      </c>
      <c r="T19" s="46" t="n">
        <v>17</v>
      </c>
      <c r="U19" s="46" t="n">
        <v>18</v>
      </c>
      <c r="V19" s="46" t="n">
        <v>19</v>
      </c>
      <c r="W19" s="46" t="n">
        <v>20</v>
      </c>
    </row>
    <row r="20" ht="15" customHeight="1" s="31">
      <c r="B20" s="35" t="inlineStr">
        <is>
          <t>Active (1 = inside hold)</t>
        </is>
      </c>
      <c r="D20" s="45">
        <f>IF(AND(D$19&gt;=1,D$19&lt;=$C$9),1,0)</f>
        <v/>
      </c>
      <c r="E20" s="45">
        <f>IF(AND(E$19&gt;=1,E$19&lt;=$C$9),1,0)</f>
        <v/>
      </c>
      <c r="F20" s="45">
        <f>IF(AND(F$19&gt;=1,F$19&lt;=$C$9),1,0)</f>
        <v/>
      </c>
      <c r="G20" s="45">
        <f>IF(AND(G$19&gt;=1,G$19&lt;=$C$9),1,0)</f>
        <v/>
      </c>
      <c r="H20" s="45">
        <f>IF(AND(H$19&gt;=1,H$19&lt;=$C$9),1,0)</f>
        <v/>
      </c>
      <c r="I20" s="45">
        <f>IF(AND(I$19&gt;=1,I$19&lt;=$C$9),1,0)</f>
        <v/>
      </c>
      <c r="J20" s="45">
        <f>IF(AND(J$19&gt;=1,J$19&lt;=$C$9),1,0)</f>
        <v/>
      </c>
      <c r="K20" s="45">
        <f>IF(AND(K$19&gt;=1,K$19&lt;=$C$9),1,0)</f>
        <v/>
      </c>
      <c r="L20" s="45">
        <f>IF(AND(L$19&gt;=1,L$19&lt;=$C$9),1,0)</f>
        <v/>
      </c>
      <c r="M20" s="45">
        <f>IF(AND(M$19&gt;=1,M$19&lt;=$C$9),1,0)</f>
        <v/>
      </c>
      <c r="N20" s="45">
        <f>IF(AND(N$19&gt;=1,N$19&lt;=$C$9),1,0)</f>
        <v/>
      </c>
      <c r="O20" s="45">
        <f>IF(AND(O$19&gt;=1,O$19&lt;=$C$9),1,0)</f>
        <v/>
      </c>
      <c r="P20" s="45">
        <f>IF(AND(P$19&gt;=1,P$19&lt;=$C$9),1,0)</f>
        <v/>
      </c>
      <c r="Q20" s="45">
        <f>IF(AND(Q$19&gt;=1,Q$19&lt;=$C$9),1,0)</f>
        <v/>
      </c>
      <c r="R20" s="45">
        <f>IF(AND(R$19&gt;=1,R$19&lt;=$C$9),1,0)</f>
        <v/>
      </c>
      <c r="S20" s="45">
        <f>IF(AND(S$19&gt;=1,S$19&lt;=$C$9),1,0)</f>
        <v/>
      </c>
      <c r="T20" s="45">
        <f>IF(AND(T$19&gt;=1,T$19&lt;=$C$9),1,0)</f>
        <v/>
      </c>
      <c r="U20" s="45">
        <f>IF(AND(U$19&gt;=1,U$19&lt;=$C$9),1,0)</f>
        <v/>
      </c>
      <c r="V20" s="45">
        <f>IF(AND(V$19&gt;=1,V$19&lt;=$C$9),1,0)</f>
        <v/>
      </c>
      <c r="W20" s="45">
        <f>IF(AND(W$19&gt;=1,W$19&lt;=$C$9),1,0)</f>
        <v/>
      </c>
    </row>
    <row r="21" ht="15" customHeight="1" s="31">
      <c r="B21" s="35" t="inlineStr">
        <is>
          <t>Exit quarter (1 = exit)</t>
        </is>
      </c>
      <c r="D21" s="45">
        <f>IF(D$19=$C$9,1,0)</f>
        <v/>
      </c>
      <c r="E21" s="45">
        <f>IF(E$19=$C$9,1,0)</f>
        <v/>
      </c>
      <c r="F21" s="45">
        <f>IF(F$19=$C$9,1,0)</f>
        <v/>
      </c>
      <c r="G21" s="45">
        <f>IF(G$19=$C$9,1,0)</f>
        <v/>
      </c>
      <c r="H21" s="45">
        <f>IF(H$19=$C$9,1,0)</f>
        <v/>
      </c>
      <c r="I21" s="45">
        <f>IF(I$19=$C$9,1,0)</f>
        <v/>
      </c>
      <c r="J21" s="45">
        <f>IF(J$19=$C$9,1,0)</f>
        <v/>
      </c>
      <c r="K21" s="45">
        <f>IF(K$19=$C$9,1,0)</f>
        <v/>
      </c>
      <c r="L21" s="45">
        <f>IF(L$19=$C$9,1,0)</f>
        <v/>
      </c>
      <c r="M21" s="45">
        <f>IF(M$19=$C$9,1,0)</f>
        <v/>
      </c>
      <c r="N21" s="45">
        <f>IF(N$19=$C$9,1,0)</f>
        <v/>
      </c>
      <c r="O21" s="45">
        <f>IF(O$19=$C$9,1,0)</f>
        <v/>
      </c>
      <c r="P21" s="45">
        <f>IF(P$19=$C$9,1,0)</f>
        <v/>
      </c>
      <c r="Q21" s="45">
        <f>IF(Q$19=$C$9,1,0)</f>
        <v/>
      </c>
      <c r="R21" s="45">
        <f>IF(R$19=$C$9,1,0)</f>
        <v/>
      </c>
      <c r="S21" s="45">
        <f>IF(S$19=$C$9,1,0)</f>
        <v/>
      </c>
      <c r="T21" s="45">
        <f>IF(T$19=$C$9,1,0)</f>
        <v/>
      </c>
      <c r="U21" s="45">
        <f>IF(U$19=$C$9,1,0)</f>
        <v/>
      </c>
      <c r="V21" s="45">
        <f>IF(V$19=$C$9,1,0)</f>
        <v/>
      </c>
      <c r="W21" s="45">
        <f>IF(W$19=$C$9,1,0)</f>
        <v/>
      </c>
    </row>
    <row r="22" ht="15" customHeight="1" s="31">
      <c r="B22" s="35" t="inlineStr">
        <is>
          <t>SOFR forward (Curve tab, shifted to funding date)</t>
        </is>
      </c>
      <c r="D22" s="47">
        <f>IF(D20=1,INDEX(Curve!$C$6:$C$25,MIN(20,D$19+$C$14)),0)</f>
        <v/>
      </c>
      <c r="E22" s="47">
        <f>IF(E20=1,INDEX(Curve!$C$6:$C$25,MIN(20,E$19+$C$14)),0)</f>
        <v/>
      </c>
      <c r="F22" s="47">
        <f>IF(F20=1,INDEX(Curve!$C$6:$C$25,MIN(20,F$19+$C$14)),0)</f>
        <v/>
      </c>
      <c r="G22" s="47">
        <f>IF(G20=1,INDEX(Curve!$C$6:$C$25,MIN(20,G$19+$C$14)),0)</f>
        <v/>
      </c>
      <c r="H22" s="47">
        <f>IF(H20=1,INDEX(Curve!$C$6:$C$25,MIN(20,H$19+$C$14)),0)</f>
        <v/>
      </c>
      <c r="I22" s="47">
        <f>IF(I20=1,INDEX(Curve!$C$6:$C$25,MIN(20,I$19+$C$14)),0)</f>
        <v/>
      </c>
      <c r="J22" s="47">
        <f>IF(J20=1,INDEX(Curve!$C$6:$C$25,MIN(20,J$19+$C$14)),0)</f>
        <v/>
      </c>
      <c r="K22" s="47">
        <f>IF(K20=1,INDEX(Curve!$C$6:$C$25,MIN(20,K$19+$C$14)),0)</f>
        <v/>
      </c>
      <c r="L22" s="47">
        <f>IF(L20=1,INDEX(Curve!$C$6:$C$25,MIN(20,L$19+$C$14)),0)</f>
        <v/>
      </c>
      <c r="M22" s="47">
        <f>IF(M20=1,INDEX(Curve!$C$6:$C$25,MIN(20,M$19+$C$14)),0)</f>
        <v/>
      </c>
      <c r="N22" s="47">
        <f>IF(N20=1,INDEX(Curve!$C$6:$C$25,MIN(20,N$19+$C$14)),0)</f>
        <v/>
      </c>
      <c r="O22" s="47">
        <f>IF(O20=1,INDEX(Curve!$C$6:$C$25,MIN(20,O$19+$C$14)),0)</f>
        <v/>
      </c>
      <c r="P22" s="47">
        <f>IF(P20=1,INDEX(Curve!$C$6:$C$25,MIN(20,P$19+$C$14)),0)</f>
        <v/>
      </c>
      <c r="Q22" s="47">
        <f>IF(Q20=1,INDEX(Curve!$C$6:$C$25,MIN(20,Q$19+$C$14)),0)</f>
        <v/>
      </c>
      <c r="R22" s="47">
        <f>IF(R20=1,INDEX(Curve!$C$6:$C$25,MIN(20,R$19+$C$14)),0)</f>
        <v/>
      </c>
      <c r="S22" s="47">
        <f>IF(S20=1,INDEX(Curve!$C$6:$C$25,MIN(20,S$19+$C$14)),0)</f>
        <v/>
      </c>
      <c r="T22" s="47">
        <f>IF(T20=1,INDEX(Curve!$C$6:$C$25,MIN(20,T$19+$C$14)),0)</f>
        <v/>
      </c>
      <c r="U22" s="47">
        <f>IF(U20=1,INDEX(Curve!$C$6:$C$25,MIN(20,U$19+$C$14)),0)</f>
        <v/>
      </c>
      <c r="V22" s="47">
        <f>IF(V20=1,INDEX(Curve!$C$6:$C$25,MIN(20,V$19+$C$14)),0)</f>
        <v/>
      </c>
      <c r="W22" s="47">
        <f>IF(W20=1,INDEX(Curve!$C$6:$C$25,MIN(20,W$19+$C$14)),0)</f>
        <v/>
      </c>
    </row>
    <row r="23" ht="15" customHeight="1" s="31">
      <c r="B23" s="35" t="inlineStr">
        <is>
          <t>Loan all-in rate</t>
        </is>
      </c>
      <c r="D23" s="48">
        <f>IF(D20=1,D22+$C$7/10000,0)</f>
        <v/>
      </c>
      <c r="E23" s="48">
        <f>IF(E20=1,E22+$C$7/10000,0)</f>
        <v/>
      </c>
      <c r="F23" s="48">
        <f>IF(F20=1,F22+$C$7/10000,0)</f>
        <v/>
      </c>
      <c r="G23" s="48">
        <f>IF(G20=1,G22+$C$7/10000,0)</f>
        <v/>
      </c>
      <c r="H23" s="48">
        <f>IF(H20=1,H22+$C$7/10000,0)</f>
        <v/>
      </c>
      <c r="I23" s="48">
        <f>IF(I20=1,I22+$C$7/10000,0)</f>
        <v/>
      </c>
      <c r="J23" s="48">
        <f>IF(J20=1,J22+$C$7/10000,0)</f>
        <v/>
      </c>
      <c r="K23" s="48">
        <f>IF(K20=1,K22+$C$7/10000,0)</f>
        <v/>
      </c>
      <c r="L23" s="48">
        <f>IF(L20=1,L22+$C$7/10000,0)</f>
        <v/>
      </c>
      <c r="M23" s="48">
        <f>IF(M20=1,M22+$C$7/10000,0)</f>
        <v/>
      </c>
      <c r="N23" s="48">
        <f>IF(N20=1,N22+$C$7/10000,0)</f>
        <v/>
      </c>
      <c r="O23" s="48">
        <f>IF(O20=1,O22+$C$7/10000,0)</f>
        <v/>
      </c>
      <c r="P23" s="48">
        <f>IF(P20=1,P22+$C$7/10000,0)</f>
        <v/>
      </c>
      <c r="Q23" s="48">
        <f>IF(Q20=1,Q22+$C$7/10000,0)</f>
        <v/>
      </c>
      <c r="R23" s="48">
        <f>IF(R20=1,R22+$C$7/10000,0)</f>
        <v/>
      </c>
      <c r="S23" s="48">
        <f>IF(S20=1,S22+$C$7/10000,0)</f>
        <v/>
      </c>
      <c r="T23" s="48">
        <f>IF(T20=1,T22+$C$7/10000,0)</f>
        <v/>
      </c>
      <c r="U23" s="48">
        <f>IF(U20=1,U22+$C$7/10000,0)</f>
        <v/>
      </c>
      <c r="V23" s="48">
        <f>IF(V20=1,V22+$C$7/10000,0)</f>
        <v/>
      </c>
      <c r="W23" s="48">
        <f>IF(W20=1,W22+$C$7/10000,0)</f>
        <v/>
      </c>
    </row>
    <row r="24" ht="15" customHeight="1" s="31">
      <c r="B24" s="35" t="inlineStr">
        <is>
          <t>PIK flag (1 = PIK quarter)</t>
        </is>
      </c>
      <c r="D24" s="45">
        <f>IF(AND(D20=1,D$19&lt;=$C$10),1,0)</f>
        <v/>
      </c>
      <c r="E24" s="45">
        <f>IF(AND(E20=1,E$19&lt;=$C$10),1,0)</f>
        <v/>
      </c>
      <c r="F24" s="45">
        <f>IF(AND(F20=1,F$19&lt;=$C$10),1,0)</f>
        <v/>
      </c>
      <c r="G24" s="45">
        <f>IF(AND(G20=1,G$19&lt;=$C$10),1,0)</f>
        <v/>
      </c>
      <c r="H24" s="45">
        <f>IF(AND(H20=1,H$19&lt;=$C$10),1,0)</f>
        <v/>
      </c>
      <c r="I24" s="45">
        <f>IF(AND(I20=1,I$19&lt;=$C$10),1,0)</f>
        <v/>
      </c>
      <c r="J24" s="45">
        <f>IF(AND(J20=1,J$19&lt;=$C$10),1,0)</f>
        <v/>
      </c>
      <c r="K24" s="45">
        <f>IF(AND(K20=1,K$19&lt;=$C$10),1,0)</f>
        <v/>
      </c>
      <c r="L24" s="45">
        <f>IF(AND(L20=1,L$19&lt;=$C$10),1,0)</f>
        <v/>
      </c>
      <c r="M24" s="45">
        <f>IF(AND(M20=1,M$19&lt;=$C$10),1,0)</f>
        <v/>
      </c>
      <c r="N24" s="45">
        <f>IF(AND(N20=1,N$19&lt;=$C$10),1,0)</f>
        <v/>
      </c>
      <c r="O24" s="45">
        <f>IF(AND(O20=1,O$19&lt;=$C$10),1,0)</f>
        <v/>
      </c>
      <c r="P24" s="45">
        <f>IF(AND(P20=1,P$19&lt;=$C$10),1,0)</f>
        <v/>
      </c>
      <c r="Q24" s="45">
        <f>IF(AND(Q20=1,Q$19&lt;=$C$10),1,0)</f>
        <v/>
      </c>
      <c r="R24" s="45">
        <f>IF(AND(R20=1,R$19&lt;=$C$10),1,0)</f>
        <v/>
      </c>
      <c r="S24" s="45">
        <f>IF(AND(S20=1,S$19&lt;=$C$10),1,0)</f>
        <v/>
      </c>
      <c r="T24" s="45">
        <f>IF(AND(T20=1,T$19&lt;=$C$10),1,0)</f>
        <v/>
      </c>
      <c r="U24" s="45">
        <f>IF(AND(U20=1,U$19&lt;=$C$10),1,0)</f>
        <v/>
      </c>
      <c r="V24" s="45">
        <f>IF(AND(V20=1,V$19&lt;=$C$10),1,0)</f>
        <v/>
      </c>
      <c r="W24" s="45">
        <f>IF(AND(W20=1,W$19&lt;=$C$10),1,0)</f>
        <v/>
      </c>
    </row>
    <row r="25" ht="15" customHeight="1" s="31">
      <c r="B25" s="35" t="inlineStr">
        <is>
          <t>Loan beginning balance</t>
        </is>
      </c>
      <c r="D25" s="42">
        <f>C29</f>
        <v/>
      </c>
      <c r="E25" s="42">
        <f>D29</f>
        <v/>
      </c>
      <c r="F25" s="42">
        <f>E29</f>
        <v/>
      </c>
      <c r="G25" s="42">
        <f>F29</f>
        <v/>
      </c>
      <c r="H25" s="42">
        <f>G29</f>
        <v/>
      </c>
      <c r="I25" s="42">
        <f>H29</f>
        <v/>
      </c>
      <c r="J25" s="42">
        <f>I29</f>
        <v/>
      </c>
      <c r="K25" s="42">
        <f>J29</f>
        <v/>
      </c>
      <c r="L25" s="42">
        <f>K29</f>
        <v/>
      </c>
      <c r="M25" s="42">
        <f>L29</f>
        <v/>
      </c>
      <c r="N25" s="42">
        <f>M29</f>
        <v/>
      </c>
      <c r="O25" s="42">
        <f>N29</f>
        <v/>
      </c>
      <c r="P25" s="42">
        <f>O29</f>
        <v/>
      </c>
      <c r="Q25" s="42">
        <f>P29</f>
        <v/>
      </c>
      <c r="R25" s="42">
        <f>Q29</f>
        <v/>
      </c>
      <c r="S25" s="42">
        <f>R29</f>
        <v/>
      </c>
      <c r="T25" s="42">
        <f>S29</f>
        <v/>
      </c>
      <c r="U25" s="42">
        <f>T29</f>
        <v/>
      </c>
      <c r="V25" s="42">
        <f>U29</f>
        <v/>
      </c>
      <c r="W25" s="42">
        <f>V29</f>
        <v/>
      </c>
    </row>
    <row r="26" ht="15" customHeight="1" s="31">
      <c r="B26" s="35" t="inlineStr">
        <is>
          <t>Interest accrued</t>
        </is>
      </c>
      <c r="D26" s="42">
        <f>D20*D25*D23/4</f>
        <v/>
      </c>
      <c r="E26" s="42">
        <f>E20*E25*E23/4</f>
        <v/>
      </c>
      <c r="F26" s="42">
        <f>F20*F25*F23/4</f>
        <v/>
      </c>
      <c r="G26" s="42">
        <f>G20*G25*G23/4</f>
        <v/>
      </c>
      <c r="H26" s="42">
        <f>H20*H25*H23/4</f>
        <v/>
      </c>
      <c r="I26" s="42">
        <f>I20*I25*I23/4</f>
        <v/>
      </c>
      <c r="J26" s="42">
        <f>J20*J25*J23/4</f>
        <v/>
      </c>
      <c r="K26" s="42">
        <f>K20*K25*K23/4</f>
        <v/>
      </c>
      <c r="L26" s="42">
        <f>L20*L25*L23/4</f>
        <v/>
      </c>
      <c r="M26" s="42">
        <f>M20*M25*M23/4</f>
        <v/>
      </c>
      <c r="N26" s="42">
        <f>N20*N25*N23/4</f>
        <v/>
      </c>
      <c r="O26" s="42">
        <f>O20*O25*O23/4</f>
        <v/>
      </c>
      <c r="P26" s="42">
        <f>P20*P25*P23/4</f>
        <v/>
      </c>
      <c r="Q26" s="42">
        <f>Q20*Q25*Q23/4</f>
        <v/>
      </c>
      <c r="R26" s="42">
        <f>R20*R25*R23/4</f>
        <v/>
      </c>
      <c r="S26" s="42">
        <f>S20*S25*S23/4</f>
        <v/>
      </c>
      <c r="T26" s="42">
        <f>T20*T25*T23/4</f>
        <v/>
      </c>
      <c r="U26" s="42">
        <f>U20*U25*U23/4</f>
        <v/>
      </c>
      <c r="V26" s="42">
        <f>V20*V25*V23/4</f>
        <v/>
      </c>
      <c r="W26" s="42">
        <f>W20*W25*W23/4</f>
        <v/>
      </c>
    </row>
    <row r="27" ht="15" customHeight="1" s="31">
      <c r="B27" s="35" t="inlineStr">
        <is>
          <t>PIK capitalized</t>
        </is>
      </c>
      <c r="D27" s="42">
        <f>D24*D26</f>
        <v/>
      </c>
      <c r="E27" s="42">
        <f>E24*E26</f>
        <v/>
      </c>
      <c r="F27" s="42">
        <f>F24*F26</f>
        <v/>
      </c>
      <c r="G27" s="42">
        <f>G24*G26</f>
        <v/>
      </c>
      <c r="H27" s="42">
        <f>H24*H26</f>
        <v/>
      </c>
      <c r="I27" s="42">
        <f>I24*I26</f>
        <v/>
      </c>
      <c r="J27" s="42">
        <f>J24*J26</f>
        <v/>
      </c>
      <c r="K27" s="42">
        <f>K24*K26</f>
        <v/>
      </c>
      <c r="L27" s="42">
        <f>L24*L26</f>
        <v/>
      </c>
      <c r="M27" s="42">
        <f>M24*M26</f>
        <v/>
      </c>
      <c r="N27" s="42">
        <f>N24*N26</f>
        <v/>
      </c>
      <c r="O27" s="42">
        <f>O24*O26</f>
        <v/>
      </c>
      <c r="P27" s="42">
        <f>P24*P26</f>
        <v/>
      </c>
      <c r="Q27" s="42">
        <f>Q24*Q26</f>
        <v/>
      </c>
      <c r="R27" s="42">
        <f>R24*R26</f>
        <v/>
      </c>
      <c r="S27" s="42">
        <f>S24*S26</f>
        <v/>
      </c>
      <c r="T27" s="42">
        <f>T24*T26</f>
        <v/>
      </c>
      <c r="U27" s="42">
        <f>U24*U26</f>
        <v/>
      </c>
      <c r="V27" s="42">
        <f>V24*V26</f>
        <v/>
      </c>
      <c r="W27" s="42">
        <f>W24*W26</f>
        <v/>
      </c>
    </row>
    <row r="28" ht="15" customHeight="1" s="31">
      <c r="B28" s="35" t="inlineStr">
        <is>
          <t>Scheduled amortization</t>
        </is>
      </c>
      <c r="D28" s="42">
        <f>IF(AND(D20=1,D24=0),MIN(D25,$C$6*$C$11/4),0)</f>
        <v/>
      </c>
      <c r="E28" s="42">
        <f>IF(AND(E20=1,E24=0),MIN(E25,$C$6*$C$11/4),0)</f>
        <v/>
      </c>
      <c r="F28" s="42">
        <f>IF(AND(F20=1,F24=0),MIN(F25,$C$6*$C$11/4),0)</f>
        <v/>
      </c>
      <c r="G28" s="42">
        <f>IF(AND(G20=1,G24=0),MIN(G25,$C$6*$C$11/4),0)</f>
        <v/>
      </c>
      <c r="H28" s="42">
        <f>IF(AND(H20=1,H24=0),MIN(H25,$C$6*$C$11/4),0)</f>
        <v/>
      </c>
      <c r="I28" s="42">
        <f>IF(AND(I20=1,I24=0),MIN(I25,$C$6*$C$11/4),0)</f>
        <v/>
      </c>
      <c r="J28" s="42">
        <f>IF(AND(J20=1,J24=0),MIN(J25,$C$6*$C$11/4),0)</f>
        <v/>
      </c>
      <c r="K28" s="42">
        <f>IF(AND(K20=1,K24=0),MIN(K25,$C$6*$C$11/4),0)</f>
        <v/>
      </c>
      <c r="L28" s="42">
        <f>IF(AND(L20=1,L24=0),MIN(L25,$C$6*$C$11/4),0)</f>
        <v/>
      </c>
      <c r="M28" s="42">
        <f>IF(AND(M20=1,M24=0),MIN(M25,$C$6*$C$11/4),0)</f>
        <v/>
      </c>
      <c r="N28" s="42">
        <f>IF(AND(N20=1,N24=0),MIN(N25,$C$6*$C$11/4),0)</f>
        <v/>
      </c>
      <c r="O28" s="42">
        <f>IF(AND(O20=1,O24=0),MIN(O25,$C$6*$C$11/4),0)</f>
        <v/>
      </c>
      <c r="P28" s="42">
        <f>IF(AND(P20=1,P24=0),MIN(P25,$C$6*$C$11/4),0)</f>
        <v/>
      </c>
      <c r="Q28" s="42">
        <f>IF(AND(Q20=1,Q24=0),MIN(Q25,$C$6*$C$11/4),0)</f>
        <v/>
      </c>
      <c r="R28" s="42">
        <f>IF(AND(R20=1,R24=0),MIN(R25,$C$6*$C$11/4),0)</f>
        <v/>
      </c>
      <c r="S28" s="42">
        <f>IF(AND(S20=1,S24=0),MIN(S25,$C$6*$C$11/4),0)</f>
        <v/>
      </c>
      <c r="T28" s="42">
        <f>IF(AND(T20=1,T24=0),MIN(T25,$C$6*$C$11/4),0)</f>
        <v/>
      </c>
      <c r="U28" s="42">
        <f>IF(AND(U20=1,U24=0),MIN(U25,$C$6*$C$11/4),0)</f>
        <v/>
      </c>
      <c r="V28" s="42">
        <f>IF(AND(V20=1,V24=0),MIN(V25,$C$6*$C$11/4),0)</f>
        <v/>
      </c>
      <c r="W28" s="42">
        <f>IF(AND(W20=1,W24=0),MIN(W25,$C$6*$C$11/4),0)</f>
        <v/>
      </c>
    </row>
    <row r="29" ht="15" customHeight="1" s="31">
      <c r="B29" s="35" t="inlineStr">
        <is>
          <t>Loan ending balance before exit payoff</t>
        </is>
      </c>
      <c r="C29" s="42">
        <f>$C$6</f>
        <v/>
      </c>
      <c r="D29" s="42">
        <f>IF(D20=1,D25+D27-D28,0)</f>
        <v/>
      </c>
      <c r="E29" s="42">
        <f>IF(E20=1,E25+E27-E28,0)</f>
        <v/>
      </c>
      <c r="F29" s="42">
        <f>IF(F20=1,F25+F27-F28,0)</f>
        <v/>
      </c>
      <c r="G29" s="42">
        <f>IF(G20=1,G25+G27-G28,0)</f>
        <v/>
      </c>
      <c r="H29" s="42">
        <f>IF(H20=1,H25+H27-H28,0)</f>
        <v/>
      </c>
      <c r="I29" s="42">
        <f>IF(I20=1,I25+I27-I28,0)</f>
        <v/>
      </c>
      <c r="J29" s="42">
        <f>IF(J20=1,J25+J27-J28,0)</f>
        <v/>
      </c>
      <c r="K29" s="42">
        <f>IF(K20=1,K25+K27-K28,0)</f>
        <v/>
      </c>
      <c r="L29" s="42">
        <f>IF(L20=1,L25+L27-L28,0)</f>
        <v/>
      </c>
      <c r="M29" s="42">
        <f>IF(M20=1,M25+M27-M28,0)</f>
        <v/>
      </c>
      <c r="N29" s="42">
        <f>IF(N20=1,N25+N27-N28,0)</f>
        <v/>
      </c>
      <c r="O29" s="42">
        <f>IF(O20=1,O25+O27-O28,0)</f>
        <v/>
      </c>
      <c r="P29" s="42">
        <f>IF(P20=1,P25+P27-P28,0)</f>
        <v/>
      </c>
      <c r="Q29" s="42">
        <f>IF(Q20=1,Q25+Q27-Q28,0)</f>
        <v/>
      </c>
      <c r="R29" s="42">
        <f>IF(R20=1,R25+R27-R28,0)</f>
        <v/>
      </c>
      <c r="S29" s="42">
        <f>IF(S20=1,S25+S27-S28,0)</f>
        <v/>
      </c>
      <c r="T29" s="42">
        <f>IF(T20=1,T25+T27-T28,0)</f>
        <v/>
      </c>
      <c r="U29" s="42">
        <f>IF(U20=1,U25+U27-U28,0)</f>
        <v/>
      </c>
      <c r="V29" s="42">
        <f>IF(V20=1,V25+V27-V28,0)</f>
        <v/>
      </c>
      <c r="W29" s="42">
        <f>IF(W20=1,W25+W27-W28,0)</f>
        <v/>
      </c>
    </row>
    <row r="30" ht="15" customHeight="1" s="31">
      <c r="B30" s="35" t="inlineStr">
        <is>
          <t>Financing line beginning balance</t>
        </is>
      </c>
      <c r="D30" s="42">
        <f>C32</f>
        <v/>
      </c>
      <c r="E30" s="42">
        <f>D32</f>
        <v/>
      </c>
      <c r="F30" s="42">
        <f>E32</f>
        <v/>
      </c>
      <c r="G30" s="42">
        <f>F32</f>
        <v/>
      </c>
      <c r="H30" s="42">
        <f>G32</f>
        <v/>
      </c>
      <c r="I30" s="42">
        <f>H32</f>
        <v/>
      </c>
      <c r="J30" s="42">
        <f>I32</f>
        <v/>
      </c>
      <c r="K30" s="42">
        <f>J32</f>
        <v/>
      </c>
      <c r="L30" s="42">
        <f>K32</f>
        <v/>
      </c>
      <c r="M30" s="42">
        <f>L32</f>
        <v/>
      </c>
      <c r="N30" s="42">
        <f>M32</f>
        <v/>
      </c>
      <c r="O30" s="42">
        <f>N32</f>
        <v/>
      </c>
      <c r="P30" s="42">
        <f>O32</f>
        <v/>
      </c>
      <c r="Q30" s="42">
        <f>P32</f>
        <v/>
      </c>
      <c r="R30" s="42">
        <f>Q32</f>
        <v/>
      </c>
      <c r="S30" s="42">
        <f>R32</f>
        <v/>
      </c>
      <c r="T30" s="42">
        <f>S32</f>
        <v/>
      </c>
      <c r="U30" s="42">
        <f>T32</f>
        <v/>
      </c>
      <c r="V30" s="42">
        <f>U32</f>
        <v/>
      </c>
      <c r="W30" s="42">
        <f>V32</f>
        <v/>
      </c>
    </row>
    <row r="31" ht="15" customHeight="1" s="31">
      <c r="B31" s="35" t="inlineStr">
        <is>
          <t>Financing paydown (pro rata with amortization)</t>
        </is>
      </c>
      <c r="D31" s="42">
        <f>IF(D20=1,$I$9*D28/$C$6,0)</f>
        <v/>
      </c>
      <c r="E31" s="42">
        <f>IF(E20=1,$I$9*E28/$C$6,0)</f>
        <v/>
      </c>
      <c r="F31" s="42">
        <f>IF(F20=1,$I$9*F28/$C$6,0)</f>
        <v/>
      </c>
      <c r="G31" s="42">
        <f>IF(G20=1,$I$9*G28/$C$6,0)</f>
        <v/>
      </c>
      <c r="H31" s="42">
        <f>IF(H20=1,$I$9*H28/$C$6,0)</f>
        <v/>
      </c>
      <c r="I31" s="42">
        <f>IF(I20=1,$I$9*I28/$C$6,0)</f>
        <v/>
      </c>
      <c r="J31" s="42">
        <f>IF(J20=1,$I$9*J28/$C$6,0)</f>
        <v/>
      </c>
      <c r="K31" s="42">
        <f>IF(K20=1,$I$9*K28/$C$6,0)</f>
        <v/>
      </c>
      <c r="L31" s="42">
        <f>IF(L20=1,$I$9*L28/$C$6,0)</f>
        <v/>
      </c>
      <c r="M31" s="42">
        <f>IF(M20=1,$I$9*M28/$C$6,0)</f>
        <v/>
      </c>
      <c r="N31" s="42">
        <f>IF(N20=1,$I$9*N28/$C$6,0)</f>
        <v/>
      </c>
      <c r="O31" s="42">
        <f>IF(O20=1,$I$9*O28/$C$6,0)</f>
        <v/>
      </c>
      <c r="P31" s="42">
        <f>IF(P20=1,$I$9*P28/$C$6,0)</f>
        <v/>
      </c>
      <c r="Q31" s="42">
        <f>IF(Q20=1,$I$9*Q28/$C$6,0)</f>
        <v/>
      </c>
      <c r="R31" s="42">
        <f>IF(R20=1,$I$9*R28/$C$6,0)</f>
        <v/>
      </c>
      <c r="S31" s="42">
        <f>IF(S20=1,$I$9*S28/$C$6,0)</f>
        <v/>
      </c>
      <c r="T31" s="42">
        <f>IF(T20=1,$I$9*T28/$C$6,0)</f>
        <v/>
      </c>
      <c r="U31" s="42">
        <f>IF(U20=1,$I$9*U28/$C$6,0)</f>
        <v/>
      </c>
      <c r="V31" s="42">
        <f>IF(V20=1,$I$9*V28/$C$6,0)</f>
        <v/>
      </c>
      <c r="W31" s="42">
        <f>IF(W20=1,$I$9*W28/$C$6,0)</f>
        <v/>
      </c>
    </row>
    <row r="32" ht="15" customHeight="1" s="31">
      <c r="B32" s="35" t="inlineStr">
        <is>
          <t>Financing line ending balance before exit payoff</t>
        </is>
      </c>
      <c r="C32" s="42">
        <f>$I$9</f>
        <v/>
      </c>
      <c r="D32" s="42">
        <f>IF(D20=1,D30-D31,0)</f>
        <v/>
      </c>
      <c r="E32" s="42">
        <f>IF(E20=1,E30-E31,0)</f>
        <v/>
      </c>
      <c r="F32" s="42">
        <f>IF(F20=1,F30-F31,0)</f>
        <v/>
      </c>
      <c r="G32" s="42">
        <f>IF(G20=1,G30-G31,0)</f>
        <v/>
      </c>
      <c r="H32" s="42">
        <f>IF(H20=1,H30-H31,0)</f>
        <v/>
      </c>
      <c r="I32" s="42">
        <f>IF(I20=1,I30-I31,0)</f>
        <v/>
      </c>
      <c r="J32" s="42">
        <f>IF(J20=1,J30-J31,0)</f>
        <v/>
      </c>
      <c r="K32" s="42">
        <f>IF(K20=1,K30-K31,0)</f>
        <v/>
      </c>
      <c r="L32" s="42">
        <f>IF(L20=1,L30-L31,0)</f>
        <v/>
      </c>
      <c r="M32" s="42">
        <f>IF(M20=1,M30-M31,0)</f>
        <v/>
      </c>
      <c r="N32" s="42">
        <f>IF(N20=1,N30-N31,0)</f>
        <v/>
      </c>
      <c r="O32" s="42">
        <f>IF(O20=1,O30-O31,0)</f>
        <v/>
      </c>
      <c r="P32" s="42">
        <f>IF(P20=1,P30-P31,0)</f>
        <v/>
      </c>
      <c r="Q32" s="42">
        <f>IF(Q20=1,Q30-Q31,0)</f>
        <v/>
      </c>
      <c r="R32" s="42">
        <f>IF(R20=1,R30-R31,0)</f>
        <v/>
      </c>
      <c r="S32" s="42">
        <f>IF(S20=1,S30-S31,0)</f>
        <v/>
      </c>
      <c r="T32" s="42">
        <f>IF(T20=1,T30-T31,0)</f>
        <v/>
      </c>
      <c r="U32" s="42">
        <f>IF(U20=1,U30-U31,0)</f>
        <v/>
      </c>
      <c r="V32" s="42">
        <f>IF(V20=1,V30-V31,0)</f>
        <v/>
      </c>
      <c r="W32" s="42">
        <f>IF(W20=1,W30-W31,0)</f>
        <v/>
      </c>
    </row>
    <row r="34" ht="15" customHeight="1" s="31">
      <c r="B34" s="34" t="inlineStr">
        <is>
          <t>Cash flows — every row is a real cell</t>
        </is>
      </c>
    </row>
    <row r="35" ht="15" customHeight="1" s="31">
      <c r="B35" s="34" t="inlineStr">
        <is>
          <t>Quarter</t>
        </is>
      </c>
      <c r="C35" s="46" t="n">
        <v>0</v>
      </c>
      <c r="D35" s="46" t="n">
        <v>1</v>
      </c>
      <c r="E35" s="46" t="n">
        <v>2</v>
      </c>
      <c r="F35" s="46" t="n">
        <v>3</v>
      </c>
      <c r="G35" s="46" t="n">
        <v>4</v>
      </c>
      <c r="H35" s="46" t="n">
        <v>5</v>
      </c>
      <c r="I35" s="46" t="n">
        <v>6</v>
      </c>
      <c r="J35" s="46" t="n">
        <v>7</v>
      </c>
      <c r="K35" s="46" t="n">
        <v>8</v>
      </c>
      <c r="L35" s="46" t="n">
        <v>9</v>
      </c>
      <c r="M35" s="46" t="n">
        <v>10</v>
      </c>
      <c r="N35" s="46" t="n">
        <v>11</v>
      </c>
      <c r="O35" s="46" t="n">
        <v>12</v>
      </c>
      <c r="P35" s="46" t="n">
        <v>13</v>
      </c>
      <c r="Q35" s="46" t="n">
        <v>14</v>
      </c>
      <c r="R35" s="46" t="n">
        <v>15</v>
      </c>
      <c r="S35" s="46" t="n">
        <v>16</v>
      </c>
      <c r="T35" s="46" t="n">
        <v>17</v>
      </c>
      <c r="U35" s="46" t="n">
        <v>18</v>
      </c>
      <c r="V35" s="46" t="n">
        <v>19</v>
      </c>
      <c r="W35" s="46" t="n">
        <v>20</v>
      </c>
    </row>
    <row r="36" ht="15" customHeight="1" s="31">
      <c r="B36" s="35" t="inlineStr">
        <is>
          <t>Initial Funding</t>
        </is>
      </c>
      <c r="C36" s="42">
        <f>-$C$6*(1-$D$8)</f>
        <v/>
      </c>
      <c r="D36" s="42" t="n">
        <v>0</v>
      </c>
      <c r="E36" s="42" t="n">
        <v>0</v>
      </c>
      <c r="F36" s="42" t="n">
        <v>0</v>
      </c>
      <c r="G36" s="42" t="n">
        <v>0</v>
      </c>
      <c r="H36" s="42" t="n">
        <v>0</v>
      </c>
      <c r="I36" s="42" t="n">
        <v>0</v>
      </c>
      <c r="J36" s="42" t="n">
        <v>0</v>
      </c>
      <c r="K36" s="42" t="n">
        <v>0</v>
      </c>
      <c r="L36" s="42" t="n">
        <v>0</v>
      </c>
      <c r="M36" s="42" t="n">
        <v>0</v>
      </c>
      <c r="N36" s="42" t="n">
        <v>0</v>
      </c>
      <c r="O36" s="42" t="n">
        <v>0</v>
      </c>
      <c r="P36" s="42" t="n">
        <v>0</v>
      </c>
      <c r="Q36" s="42" t="n">
        <v>0</v>
      </c>
      <c r="R36" s="42" t="n">
        <v>0</v>
      </c>
      <c r="S36" s="42" t="n">
        <v>0</v>
      </c>
      <c r="T36" s="42" t="n">
        <v>0</v>
      </c>
      <c r="U36" s="42" t="n">
        <v>0</v>
      </c>
      <c r="V36" s="42" t="n">
        <v>0</v>
      </c>
      <c r="W36" s="42" t="n">
        <v>0</v>
      </c>
    </row>
    <row r="37" ht="15" customHeight="1" s="31">
      <c r="B37" s="35" t="inlineStr">
        <is>
          <t>(+) Sub line draw</t>
        </is>
      </c>
      <c r="C37" s="42">
        <f>$I$9</f>
        <v/>
      </c>
      <c r="D37" s="42" t="n">
        <v>0</v>
      </c>
      <c r="E37" s="42" t="n">
        <v>0</v>
      </c>
      <c r="F37" s="42" t="n">
        <v>0</v>
      </c>
      <c r="G37" s="42" t="n">
        <v>0</v>
      </c>
      <c r="H37" s="42" t="n">
        <v>0</v>
      </c>
      <c r="I37" s="42" t="n">
        <v>0</v>
      </c>
      <c r="J37" s="42" t="n">
        <v>0</v>
      </c>
      <c r="K37" s="42" t="n">
        <v>0</v>
      </c>
      <c r="L37" s="42" t="n">
        <v>0</v>
      </c>
      <c r="M37" s="42" t="n">
        <v>0</v>
      </c>
      <c r="N37" s="42" t="n">
        <v>0</v>
      </c>
      <c r="O37" s="42" t="n">
        <v>0</v>
      </c>
      <c r="P37" s="42" t="n">
        <v>0</v>
      </c>
      <c r="Q37" s="42" t="n">
        <v>0</v>
      </c>
      <c r="R37" s="42" t="n">
        <v>0</v>
      </c>
      <c r="S37" s="42" t="n">
        <v>0</v>
      </c>
      <c r="T37" s="42" t="n">
        <v>0</v>
      </c>
      <c r="U37" s="42" t="n">
        <v>0</v>
      </c>
      <c r="V37" s="42" t="n">
        <v>0</v>
      </c>
      <c r="W37" s="42" t="n">
        <v>0</v>
      </c>
    </row>
    <row r="38" ht="15" customHeight="1" s="31">
      <c r="B38" s="35" t="inlineStr">
        <is>
          <t>(+) Cash Interest</t>
        </is>
      </c>
      <c r="C38" s="42" t="n">
        <v>0</v>
      </c>
      <c r="D38" s="42">
        <f>D26-D27</f>
        <v/>
      </c>
      <c r="E38" s="42">
        <f>E26-E27</f>
        <v/>
      </c>
      <c r="F38" s="42">
        <f>F26-F27</f>
        <v/>
      </c>
      <c r="G38" s="42">
        <f>G26-G27</f>
        <v/>
      </c>
      <c r="H38" s="42">
        <f>H26-H27</f>
        <v/>
      </c>
      <c r="I38" s="42">
        <f>I26-I27</f>
        <v/>
      </c>
      <c r="J38" s="42">
        <f>J26-J27</f>
        <v/>
      </c>
      <c r="K38" s="42">
        <f>K26-K27</f>
        <v/>
      </c>
      <c r="L38" s="42">
        <f>L26-L27</f>
        <v/>
      </c>
      <c r="M38" s="42">
        <f>M26-M27</f>
        <v/>
      </c>
      <c r="N38" s="42">
        <f>N26-N27</f>
        <v/>
      </c>
      <c r="O38" s="42">
        <f>O26-O27</f>
        <v/>
      </c>
      <c r="P38" s="42">
        <f>P26-P27</f>
        <v/>
      </c>
      <c r="Q38" s="42">
        <f>Q26-Q27</f>
        <v/>
      </c>
      <c r="R38" s="42">
        <f>R26-R27</f>
        <v/>
      </c>
      <c r="S38" s="42">
        <f>S26-S27</f>
        <v/>
      </c>
      <c r="T38" s="42">
        <f>T26-T27</f>
        <v/>
      </c>
      <c r="U38" s="42">
        <f>U26-U27</f>
        <v/>
      </c>
      <c r="V38" s="42">
        <f>V26-V27</f>
        <v/>
      </c>
      <c r="W38" s="42">
        <f>W26-W27</f>
        <v/>
      </c>
    </row>
    <row r="39" ht="15" customHeight="1" s="31">
      <c r="B39" s="35" t="inlineStr">
        <is>
          <t>(+) Mandatory Prepayments</t>
        </is>
      </c>
      <c r="C39" s="42" t="n">
        <v>0</v>
      </c>
      <c r="D39" s="42">
        <f>D28</f>
        <v/>
      </c>
      <c r="E39" s="42">
        <f>E28</f>
        <v/>
      </c>
      <c r="F39" s="42">
        <f>F28</f>
        <v/>
      </c>
      <c r="G39" s="42">
        <f>G28</f>
        <v/>
      </c>
      <c r="H39" s="42">
        <f>H28</f>
        <v/>
      </c>
      <c r="I39" s="42">
        <f>I28</f>
        <v/>
      </c>
      <c r="J39" s="42">
        <f>J28</f>
        <v/>
      </c>
      <c r="K39" s="42">
        <f>K28</f>
        <v/>
      </c>
      <c r="L39" s="42">
        <f>L28</f>
        <v/>
      </c>
      <c r="M39" s="42">
        <f>M28</f>
        <v/>
      </c>
      <c r="N39" s="42">
        <f>N28</f>
        <v/>
      </c>
      <c r="O39" s="42">
        <f>O28</f>
        <v/>
      </c>
      <c r="P39" s="42">
        <f>P28</f>
        <v/>
      </c>
      <c r="Q39" s="42">
        <f>Q28</f>
        <v/>
      </c>
      <c r="R39" s="42">
        <f>R28</f>
        <v/>
      </c>
      <c r="S39" s="42">
        <f>S28</f>
        <v/>
      </c>
      <c r="T39" s="42">
        <f>T28</f>
        <v/>
      </c>
      <c r="U39" s="42">
        <f>U28</f>
        <v/>
      </c>
      <c r="V39" s="42">
        <f>V28</f>
        <v/>
      </c>
      <c r="W39" s="42">
        <f>W28</f>
        <v/>
      </c>
    </row>
    <row r="40" ht="15" customHeight="1" s="31">
      <c r="B40" s="35" t="inlineStr">
        <is>
          <t>(-) Interest on Sub line</t>
        </is>
      </c>
      <c r="C40" s="42" t="n">
        <v>0</v>
      </c>
      <c r="D40" s="42">
        <f>-D20*D30*(D22+$I$8/10000)/4</f>
        <v/>
      </c>
      <c r="E40" s="42">
        <f>-E20*E30*(E22+$I$8/10000)/4</f>
        <v/>
      </c>
      <c r="F40" s="42">
        <f>-F20*F30*(F22+$I$8/10000)/4</f>
        <v/>
      </c>
      <c r="G40" s="42">
        <f>-G20*G30*(G22+$I$8/10000)/4</f>
        <v/>
      </c>
      <c r="H40" s="42">
        <f>-H20*H30*(H22+$I$8/10000)/4</f>
        <v/>
      </c>
      <c r="I40" s="42">
        <f>-I20*I30*(I22+$I$8/10000)/4</f>
        <v/>
      </c>
      <c r="J40" s="42">
        <f>-J20*J30*(J22+$I$8/10000)/4</f>
        <v/>
      </c>
      <c r="K40" s="42">
        <f>-K20*K30*(K22+$I$8/10000)/4</f>
        <v/>
      </c>
      <c r="L40" s="42">
        <f>-L20*L30*(L22+$I$8/10000)/4</f>
        <v/>
      </c>
      <c r="M40" s="42">
        <f>-M20*M30*(M22+$I$8/10000)/4</f>
        <v/>
      </c>
      <c r="N40" s="42">
        <f>-N20*N30*(N22+$I$8/10000)/4</f>
        <v/>
      </c>
      <c r="O40" s="42">
        <f>-O20*O30*(O22+$I$8/10000)/4</f>
        <v/>
      </c>
      <c r="P40" s="42">
        <f>-P20*P30*(P22+$I$8/10000)/4</f>
        <v/>
      </c>
      <c r="Q40" s="42">
        <f>-Q20*Q30*(Q22+$I$8/10000)/4</f>
        <v/>
      </c>
      <c r="R40" s="42">
        <f>-R20*R30*(R22+$I$8/10000)/4</f>
        <v/>
      </c>
      <c r="S40" s="42">
        <f>-S20*S30*(S22+$I$8/10000)/4</f>
        <v/>
      </c>
      <c r="T40" s="42">
        <f>-T20*T30*(T22+$I$8/10000)/4</f>
        <v/>
      </c>
      <c r="U40" s="42">
        <f>-U20*U30*(U22+$I$8/10000)/4</f>
        <v/>
      </c>
      <c r="V40" s="42">
        <f>-V20*V30*(V22+$I$8/10000)/4</f>
        <v/>
      </c>
      <c r="W40" s="42">
        <f>-W20*W30*(W22+$I$8/10000)/4</f>
        <v/>
      </c>
    </row>
    <row r="41" ht="15" customHeight="1" s="31">
      <c r="B41" s="35" t="inlineStr">
        <is>
          <t>(-) Sub line paydown (pro rata)</t>
        </is>
      </c>
      <c r="C41" s="42" t="n">
        <v>0</v>
      </c>
      <c r="D41" s="42">
        <f>-D31</f>
        <v/>
      </c>
      <c r="E41" s="42">
        <f>-E31</f>
        <v/>
      </c>
      <c r="F41" s="42">
        <f>-F31</f>
        <v/>
      </c>
      <c r="G41" s="42">
        <f>-G31</f>
        <v/>
      </c>
      <c r="H41" s="42">
        <f>-H31</f>
        <v/>
      </c>
      <c r="I41" s="42">
        <f>-I31</f>
        <v/>
      </c>
      <c r="J41" s="42">
        <f>-J31</f>
        <v/>
      </c>
      <c r="K41" s="42">
        <f>-K31</f>
        <v/>
      </c>
      <c r="L41" s="42">
        <f>-L31</f>
        <v/>
      </c>
      <c r="M41" s="42">
        <f>-M31</f>
        <v/>
      </c>
      <c r="N41" s="42">
        <f>-N31</f>
        <v/>
      </c>
      <c r="O41" s="42">
        <f>-O31</f>
        <v/>
      </c>
      <c r="P41" s="42">
        <f>-P31</f>
        <v/>
      </c>
      <c r="Q41" s="42">
        <f>-Q31</f>
        <v/>
      </c>
      <c r="R41" s="42">
        <f>-R31</f>
        <v/>
      </c>
      <c r="S41" s="42">
        <f>-S31</f>
        <v/>
      </c>
      <c r="T41" s="42">
        <f>-T31</f>
        <v/>
      </c>
      <c r="U41" s="42">
        <f>-U31</f>
        <v/>
      </c>
      <c r="V41" s="42">
        <f>-V31</f>
        <v/>
      </c>
      <c r="W41" s="42">
        <f>-W31</f>
        <v/>
      </c>
    </row>
    <row r="42" ht="15" customHeight="1" s="31">
      <c r="B42" s="35" t="inlineStr">
        <is>
          <t>(+) Final Payoffs</t>
        </is>
      </c>
      <c r="C42" s="42" t="n">
        <v>0</v>
      </c>
      <c r="D42" s="42">
        <f>D21*D29*$C$12/100</f>
        <v/>
      </c>
      <c r="E42" s="42">
        <f>E21*E29*$C$12/100</f>
        <v/>
      </c>
      <c r="F42" s="42">
        <f>F21*F29*$C$12/100</f>
        <v/>
      </c>
      <c r="G42" s="42">
        <f>G21*G29*$C$12/100</f>
        <v/>
      </c>
      <c r="H42" s="42">
        <f>H21*H29*$C$12/100</f>
        <v/>
      </c>
      <c r="I42" s="42">
        <f>I21*I29*$C$12/100</f>
        <v/>
      </c>
      <c r="J42" s="42">
        <f>J21*J29*$C$12/100</f>
        <v/>
      </c>
      <c r="K42" s="42">
        <f>K21*K29*$C$12/100</f>
        <v/>
      </c>
      <c r="L42" s="42">
        <f>L21*L29*$C$12/100</f>
        <v/>
      </c>
      <c r="M42" s="42">
        <f>M21*M29*$C$12/100</f>
        <v/>
      </c>
      <c r="N42" s="42">
        <f>N21*N29*$C$12/100</f>
        <v/>
      </c>
      <c r="O42" s="42">
        <f>O21*O29*$C$12/100</f>
        <v/>
      </c>
      <c r="P42" s="42">
        <f>P21*P29*$C$12/100</f>
        <v/>
      </c>
      <c r="Q42" s="42">
        <f>Q21*Q29*$C$12/100</f>
        <v/>
      </c>
      <c r="R42" s="42">
        <f>R21*R29*$C$12/100</f>
        <v/>
      </c>
      <c r="S42" s="42">
        <f>S21*S29*$C$12/100</f>
        <v/>
      </c>
      <c r="T42" s="42">
        <f>T21*T29*$C$12/100</f>
        <v/>
      </c>
      <c r="U42" s="42">
        <f>U21*U29*$C$12/100</f>
        <v/>
      </c>
      <c r="V42" s="42">
        <f>V21*V29*$C$12/100</f>
        <v/>
      </c>
      <c r="W42" s="42">
        <f>W21*W29*$C$12/100</f>
        <v/>
      </c>
    </row>
    <row r="43" ht="15" customHeight="1" s="31">
      <c r="B43" s="35" t="inlineStr">
        <is>
          <t>(-) Sub line Payoff</t>
        </is>
      </c>
      <c r="C43" s="42" t="n">
        <v>0</v>
      </c>
      <c r="D43" s="42">
        <f>-D21*D32</f>
        <v/>
      </c>
      <c r="E43" s="42">
        <f>-E21*E32</f>
        <v/>
      </c>
      <c r="F43" s="42">
        <f>-F21*F32</f>
        <v/>
      </c>
      <c r="G43" s="42">
        <f>-G21*G32</f>
        <v/>
      </c>
      <c r="H43" s="42">
        <f>-H21*H32</f>
        <v/>
      </c>
      <c r="I43" s="42">
        <f>-I21*I32</f>
        <v/>
      </c>
      <c r="J43" s="42">
        <f>-J21*J32</f>
        <v/>
      </c>
      <c r="K43" s="42">
        <f>-K21*K32</f>
        <v/>
      </c>
      <c r="L43" s="42">
        <f>-L21*L32</f>
        <v/>
      </c>
      <c r="M43" s="42">
        <f>-M21*M32</f>
        <v/>
      </c>
      <c r="N43" s="42">
        <f>-N21*N32</f>
        <v/>
      </c>
      <c r="O43" s="42">
        <f>-O21*O32</f>
        <v/>
      </c>
      <c r="P43" s="42">
        <f>-P21*P32</f>
        <v/>
      </c>
      <c r="Q43" s="42">
        <f>-Q21*Q32</f>
        <v/>
      </c>
      <c r="R43" s="42">
        <f>-R21*R32</f>
        <v/>
      </c>
      <c r="S43" s="42">
        <f>-S21*S32</f>
        <v/>
      </c>
      <c r="T43" s="42">
        <f>-T21*T32</f>
        <v/>
      </c>
      <c r="U43" s="42">
        <f>-U21*U32</f>
        <v/>
      </c>
      <c r="V43" s="42">
        <f>-V21*V32</f>
        <v/>
      </c>
      <c r="W43" s="42">
        <f>-W21*W32</f>
        <v/>
      </c>
    </row>
    <row r="44" ht="15" customHeight="1" s="31">
      <c r="B44" s="34" t="inlineStr">
        <is>
          <t>Total Cash Flows (Levered)</t>
        </is>
      </c>
      <c r="C44" s="49">
        <f>SUM(C36:C43)</f>
        <v/>
      </c>
      <c r="D44" s="49">
        <f>SUM(D36:D43)</f>
        <v/>
      </c>
      <c r="E44" s="49">
        <f>SUM(E36:E43)</f>
        <v/>
      </c>
      <c r="F44" s="49">
        <f>SUM(F36:F43)</f>
        <v/>
      </c>
      <c r="G44" s="49">
        <f>SUM(G36:G43)</f>
        <v/>
      </c>
      <c r="H44" s="49">
        <f>SUM(H36:H43)</f>
        <v/>
      </c>
      <c r="I44" s="49">
        <f>SUM(I36:I43)</f>
        <v/>
      </c>
      <c r="J44" s="49">
        <f>SUM(J36:J43)</f>
        <v/>
      </c>
      <c r="K44" s="49">
        <f>SUM(K36:K43)</f>
        <v/>
      </c>
      <c r="L44" s="49">
        <f>SUM(L36:L43)</f>
        <v/>
      </c>
      <c r="M44" s="49">
        <f>SUM(M36:M43)</f>
        <v/>
      </c>
      <c r="N44" s="49">
        <f>SUM(N36:N43)</f>
        <v/>
      </c>
      <c r="O44" s="49">
        <f>SUM(O36:O43)</f>
        <v/>
      </c>
      <c r="P44" s="49">
        <f>SUM(P36:P43)</f>
        <v/>
      </c>
      <c r="Q44" s="49">
        <f>SUM(Q36:Q43)</f>
        <v/>
      </c>
      <c r="R44" s="49">
        <f>SUM(R36:R43)</f>
        <v/>
      </c>
      <c r="S44" s="49">
        <f>SUM(S36:S43)</f>
        <v/>
      </c>
      <c r="T44" s="49">
        <f>SUM(T36:T43)</f>
        <v/>
      </c>
      <c r="U44" s="49">
        <f>SUM(U36:U43)</f>
        <v/>
      </c>
      <c r="V44" s="49">
        <f>SUM(V36:V43)</f>
        <v/>
      </c>
      <c r="W44" s="49">
        <f>SUM(W36:W43)</f>
        <v/>
      </c>
    </row>
    <row r="45" ht="15" customHeight="1" s="31">
      <c r="B45" s="34" t="inlineStr">
        <is>
          <t>Total Cash Flows (Unlevered)</t>
        </is>
      </c>
      <c r="C45" s="49">
        <f>C36+C38+C39+C42</f>
        <v/>
      </c>
      <c r="D45" s="49">
        <f>D36+D38+D39+D42</f>
        <v/>
      </c>
      <c r="E45" s="49">
        <f>E36+E38+E39+E42</f>
        <v/>
      </c>
      <c r="F45" s="49">
        <f>F36+F38+F39+F42</f>
        <v/>
      </c>
      <c r="G45" s="49">
        <f>G36+G38+G39+G42</f>
        <v/>
      </c>
      <c r="H45" s="49">
        <f>H36+H38+H39+H42</f>
        <v/>
      </c>
      <c r="I45" s="49">
        <f>I36+I38+I39+I42</f>
        <v/>
      </c>
      <c r="J45" s="49">
        <f>J36+J38+J39+J42</f>
        <v/>
      </c>
      <c r="K45" s="49">
        <f>K36+K38+K39+K42</f>
        <v/>
      </c>
      <c r="L45" s="49">
        <f>L36+L38+L39+L42</f>
        <v/>
      </c>
      <c r="M45" s="49">
        <f>M36+M38+M39+M42</f>
        <v/>
      </c>
      <c r="N45" s="49">
        <f>N36+N38+N39+N42</f>
        <v/>
      </c>
      <c r="O45" s="49">
        <f>O36+O38+O39+O42</f>
        <v/>
      </c>
      <c r="P45" s="49">
        <f>P36+P38+P39+P42</f>
        <v/>
      </c>
      <c r="Q45" s="49">
        <f>Q36+Q38+Q39+Q42</f>
        <v/>
      </c>
      <c r="R45" s="49">
        <f>R36+R38+R39+R42</f>
        <v/>
      </c>
      <c r="S45" s="49">
        <f>S36+S38+S39+S42</f>
        <v/>
      </c>
      <c r="T45" s="49">
        <f>T36+T38+T39+T42</f>
        <v/>
      </c>
      <c r="U45" s="49">
        <f>U36+U38+U39+U42</f>
        <v/>
      </c>
      <c r="V45" s="49">
        <f>V36+V38+V39+V42</f>
        <v/>
      </c>
      <c r="W45" s="49">
        <f>W36+W38+W39+W42</f>
        <v/>
      </c>
    </row>
    <row r="47" ht="15" customHeight="1" s="31">
      <c r="C47" s="50" t="inlineStr">
        <is>
          <t>Unlevered</t>
        </is>
      </c>
      <c r="D47" s="50" t="inlineStr">
        <is>
          <t>Levered</t>
        </is>
      </c>
    </row>
    <row r="48" ht="15" customHeight="1" s="31">
      <c r="B48" s="35" t="inlineStr">
        <is>
          <t>Quarterly IRR</t>
        </is>
      </c>
      <c r="C48" s="51">
        <f>IRR(C45:W45,0.02)</f>
        <v/>
      </c>
      <c r="D48" s="51">
        <f>IFERROR(IRR(C44:W44,0.02),"Undefined")</f>
        <v/>
      </c>
    </row>
    <row r="49" ht="15" customHeight="1" s="31">
      <c r="B49" s="34" t="inlineStr">
        <is>
          <t>IRR (annualized, effective)</t>
        </is>
      </c>
      <c r="C49" s="52">
        <f>(1+C48)^4-1</f>
        <v/>
      </c>
      <c r="D49" s="52">
        <f>IFERROR((1+D48)^4-1,"Undefined")</f>
        <v/>
      </c>
    </row>
    <row r="50" ht="15" customHeight="1" s="31">
      <c r="B50" s="35" t="inlineStr">
        <is>
          <t>IRR (nominal: quarterly IRR x 4)</t>
        </is>
      </c>
      <c r="C50" s="41">
        <f>C48*4</f>
        <v/>
      </c>
      <c r="D50" s="41">
        <f>IFERROR(D48*4,"Undefined")</f>
        <v/>
      </c>
    </row>
    <row r="51" ht="15" customHeight="1" s="31">
      <c r="B51" s="34" t="inlineStr">
        <is>
          <t>MOIC</t>
        </is>
      </c>
      <c r="C51" s="53">
        <f>SUMIF(C45:W45,"&gt;0")/-SUMIF(C45:W45,"&lt;0")</f>
        <v/>
      </c>
      <c r="D51" s="53">
        <f>SUMIF(C44:W44,"&gt;0")/-SUMIF(C44:W44,"&lt;0")</f>
        <v/>
      </c>
    </row>
    <row r="52" ht="15" customHeight="1" s="31">
      <c r="B52" s="33" t="inlineStr">
        <is>
          <t>MOIC = total cash received / total cash paid out. Headline IRR is effective (compounded); nominal is shown for comparison with annual-pay conventions.</t>
        </is>
      </c>
    </row>
    <row r="54" ht="15" customHeight="1" s="31">
      <c r="B54" s="34" t="inlineStr">
        <is>
          <t>Annual roll-up (sums of the quarterly rows above; Year 1 = quarters 1 to 4, and so on)</t>
        </is>
      </c>
    </row>
    <row r="55" ht="15" customHeight="1" s="31">
      <c r="B55" s="34" t="inlineStr">
        <is>
          <t>Year</t>
        </is>
      </c>
      <c r="C55" s="46" t="n">
        <v>0</v>
      </c>
      <c r="D55" s="46" t="n">
        <v>1</v>
      </c>
      <c r="E55" s="46" t="n">
        <v>2</v>
      </c>
      <c r="F55" s="46" t="n">
        <v>3</v>
      </c>
      <c r="G55" s="46" t="n">
        <v>4</v>
      </c>
      <c r="H55" s="46" t="n">
        <v>5</v>
      </c>
    </row>
    <row r="56" ht="15" customHeight="1" s="31">
      <c r="B56" s="35" t="inlineStr">
        <is>
          <t>Initial Funding</t>
        </is>
      </c>
      <c r="C56" s="42">
        <f>C36</f>
        <v/>
      </c>
      <c r="D56" s="42">
        <f>SUMIFS($D36:$W36,$D$35:$W$35,"&gt;="&amp;1,$D$35:$W$35,"&lt;="&amp;4)</f>
        <v/>
      </c>
      <c r="E56" s="42">
        <f>SUMIFS($D36:$W36,$D$35:$W$35,"&gt;="&amp;5,$D$35:$W$35,"&lt;="&amp;8)</f>
        <v/>
      </c>
      <c r="F56" s="42">
        <f>SUMIFS($D36:$W36,$D$35:$W$35,"&gt;="&amp;9,$D$35:$W$35,"&lt;="&amp;12)</f>
        <v/>
      </c>
      <c r="G56" s="42">
        <f>SUMIFS($D36:$W36,$D$35:$W$35,"&gt;="&amp;13,$D$35:$W$35,"&lt;="&amp;16)</f>
        <v/>
      </c>
      <c r="H56" s="42">
        <f>SUMIFS($D36:$W36,$D$35:$W$35,"&gt;="&amp;17,$D$35:$W$35,"&lt;="&amp;20)</f>
        <v/>
      </c>
    </row>
    <row r="57" ht="15" customHeight="1" s="31">
      <c r="B57" s="35" t="inlineStr">
        <is>
          <t>(+) Sub line draw</t>
        </is>
      </c>
      <c r="C57" s="42">
        <f>C37</f>
        <v/>
      </c>
      <c r="D57" s="42">
        <f>SUMIFS($D37:$W37,$D$35:$W$35,"&gt;="&amp;1,$D$35:$W$35,"&lt;="&amp;4)</f>
        <v/>
      </c>
      <c r="E57" s="42">
        <f>SUMIFS($D37:$W37,$D$35:$W$35,"&gt;="&amp;5,$D$35:$W$35,"&lt;="&amp;8)</f>
        <v/>
      </c>
      <c r="F57" s="42">
        <f>SUMIFS($D37:$W37,$D$35:$W$35,"&gt;="&amp;9,$D$35:$W$35,"&lt;="&amp;12)</f>
        <v/>
      </c>
      <c r="G57" s="42">
        <f>SUMIFS($D37:$W37,$D$35:$W$35,"&gt;="&amp;13,$D$35:$W$35,"&lt;="&amp;16)</f>
        <v/>
      </c>
      <c r="H57" s="42">
        <f>SUMIFS($D37:$W37,$D$35:$W$35,"&gt;="&amp;17,$D$35:$W$35,"&lt;="&amp;20)</f>
        <v/>
      </c>
    </row>
    <row r="58" ht="15" customHeight="1" s="31">
      <c r="B58" s="35" t="inlineStr">
        <is>
          <t>(+) Cash Interest</t>
        </is>
      </c>
      <c r="C58" s="42">
        <f>C38</f>
        <v/>
      </c>
      <c r="D58" s="42">
        <f>SUMIFS($D38:$W38,$D$35:$W$35,"&gt;="&amp;1,$D$35:$W$35,"&lt;="&amp;4)</f>
        <v/>
      </c>
      <c r="E58" s="42">
        <f>SUMIFS($D38:$W38,$D$35:$W$35,"&gt;="&amp;5,$D$35:$W$35,"&lt;="&amp;8)</f>
        <v/>
      </c>
      <c r="F58" s="42">
        <f>SUMIFS($D38:$W38,$D$35:$W$35,"&gt;="&amp;9,$D$35:$W$35,"&lt;="&amp;12)</f>
        <v/>
      </c>
      <c r="G58" s="42">
        <f>SUMIFS($D38:$W38,$D$35:$W$35,"&gt;="&amp;13,$D$35:$W$35,"&lt;="&amp;16)</f>
        <v/>
      </c>
      <c r="H58" s="42">
        <f>SUMIFS($D38:$W38,$D$35:$W$35,"&gt;="&amp;17,$D$35:$W$35,"&lt;="&amp;20)</f>
        <v/>
      </c>
    </row>
    <row r="59" ht="15" customHeight="1" s="31">
      <c r="B59" s="35" t="inlineStr">
        <is>
          <t>(+) Mandatory Prepayments</t>
        </is>
      </c>
      <c r="C59" s="42">
        <f>C39</f>
        <v/>
      </c>
      <c r="D59" s="42">
        <f>SUMIFS($D39:$W39,$D$35:$W$35,"&gt;="&amp;1,$D$35:$W$35,"&lt;="&amp;4)</f>
        <v/>
      </c>
      <c r="E59" s="42">
        <f>SUMIFS($D39:$W39,$D$35:$W$35,"&gt;="&amp;5,$D$35:$W$35,"&lt;="&amp;8)</f>
        <v/>
      </c>
      <c r="F59" s="42">
        <f>SUMIFS($D39:$W39,$D$35:$W$35,"&gt;="&amp;9,$D$35:$W$35,"&lt;="&amp;12)</f>
        <v/>
      </c>
      <c r="G59" s="42">
        <f>SUMIFS($D39:$W39,$D$35:$W$35,"&gt;="&amp;13,$D$35:$W$35,"&lt;="&amp;16)</f>
        <v/>
      </c>
      <c r="H59" s="42">
        <f>SUMIFS($D39:$W39,$D$35:$W$35,"&gt;="&amp;17,$D$35:$W$35,"&lt;="&amp;20)</f>
        <v/>
      </c>
    </row>
    <row r="60" ht="15" customHeight="1" s="31">
      <c r="B60" s="35" t="inlineStr">
        <is>
          <t>(-) Interest on Sub line</t>
        </is>
      </c>
      <c r="C60" s="42">
        <f>C40</f>
        <v/>
      </c>
      <c r="D60" s="42">
        <f>SUMIFS($D40:$W40,$D$35:$W$35,"&gt;="&amp;1,$D$35:$W$35,"&lt;="&amp;4)</f>
        <v/>
      </c>
      <c r="E60" s="42">
        <f>SUMIFS($D40:$W40,$D$35:$W$35,"&gt;="&amp;5,$D$35:$W$35,"&lt;="&amp;8)</f>
        <v/>
      </c>
      <c r="F60" s="42">
        <f>SUMIFS($D40:$W40,$D$35:$W$35,"&gt;="&amp;9,$D$35:$W$35,"&lt;="&amp;12)</f>
        <v/>
      </c>
      <c r="G60" s="42">
        <f>SUMIFS($D40:$W40,$D$35:$W$35,"&gt;="&amp;13,$D$35:$W$35,"&lt;="&amp;16)</f>
        <v/>
      </c>
      <c r="H60" s="42">
        <f>SUMIFS($D40:$W40,$D$35:$W$35,"&gt;="&amp;17,$D$35:$W$35,"&lt;="&amp;20)</f>
        <v/>
      </c>
    </row>
    <row r="61" ht="15" customHeight="1" s="31">
      <c r="B61" s="35" t="inlineStr">
        <is>
          <t>(-) Sub line paydown (pro rata)</t>
        </is>
      </c>
      <c r="C61" s="42">
        <f>C41</f>
        <v/>
      </c>
      <c r="D61" s="42">
        <f>SUMIFS($D41:$W41,$D$35:$W$35,"&gt;="&amp;1,$D$35:$W$35,"&lt;="&amp;4)</f>
        <v/>
      </c>
      <c r="E61" s="42">
        <f>SUMIFS($D41:$W41,$D$35:$W$35,"&gt;="&amp;5,$D$35:$W$35,"&lt;="&amp;8)</f>
        <v/>
      </c>
      <c r="F61" s="42">
        <f>SUMIFS($D41:$W41,$D$35:$W$35,"&gt;="&amp;9,$D$35:$W$35,"&lt;="&amp;12)</f>
        <v/>
      </c>
      <c r="G61" s="42">
        <f>SUMIFS($D41:$W41,$D$35:$W$35,"&gt;="&amp;13,$D$35:$W$35,"&lt;="&amp;16)</f>
        <v/>
      </c>
      <c r="H61" s="42">
        <f>SUMIFS($D41:$W41,$D$35:$W$35,"&gt;="&amp;17,$D$35:$W$35,"&lt;="&amp;20)</f>
        <v/>
      </c>
    </row>
    <row r="62" ht="15" customHeight="1" s="31">
      <c r="B62" s="35" t="inlineStr">
        <is>
          <t>(+) Final Payoffs</t>
        </is>
      </c>
      <c r="C62" s="42">
        <f>C42</f>
        <v/>
      </c>
      <c r="D62" s="42">
        <f>SUMIFS($D42:$W42,$D$35:$W$35,"&gt;="&amp;1,$D$35:$W$35,"&lt;="&amp;4)</f>
        <v/>
      </c>
      <c r="E62" s="42">
        <f>SUMIFS($D42:$W42,$D$35:$W$35,"&gt;="&amp;5,$D$35:$W$35,"&lt;="&amp;8)</f>
        <v/>
      </c>
      <c r="F62" s="42">
        <f>SUMIFS($D42:$W42,$D$35:$W$35,"&gt;="&amp;9,$D$35:$W$35,"&lt;="&amp;12)</f>
        <v/>
      </c>
      <c r="G62" s="42">
        <f>SUMIFS($D42:$W42,$D$35:$W$35,"&gt;="&amp;13,$D$35:$W$35,"&lt;="&amp;16)</f>
        <v/>
      </c>
      <c r="H62" s="42">
        <f>SUMIFS($D42:$W42,$D$35:$W$35,"&gt;="&amp;17,$D$35:$W$35,"&lt;="&amp;20)</f>
        <v/>
      </c>
    </row>
    <row r="63" ht="15" customHeight="1" s="31">
      <c r="B63" s="35" t="inlineStr">
        <is>
          <t>(-) Sub line Payoff</t>
        </is>
      </c>
      <c r="C63" s="42">
        <f>C43</f>
        <v/>
      </c>
      <c r="D63" s="42">
        <f>SUMIFS($D43:$W43,$D$35:$W$35,"&gt;="&amp;1,$D$35:$W$35,"&lt;="&amp;4)</f>
        <v/>
      </c>
      <c r="E63" s="42">
        <f>SUMIFS($D43:$W43,$D$35:$W$35,"&gt;="&amp;5,$D$35:$W$35,"&lt;="&amp;8)</f>
        <v/>
      </c>
      <c r="F63" s="42">
        <f>SUMIFS($D43:$W43,$D$35:$W$35,"&gt;="&amp;9,$D$35:$W$35,"&lt;="&amp;12)</f>
        <v/>
      </c>
      <c r="G63" s="42">
        <f>SUMIFS($D43:$W43,$D$35:$W$35,"&gt;="&amp;13,$D$35:$W$35,"&lt;="&amp;16)</f>
        <v/>
      </c>
      <c r="H63" s="42">
        <f>SUMIFS($D43:$W43,$D$35:$W$35,"&gt;="&amp;17,$D$35:$W$35,"&lt;="&amp;20)</f>
        <v/>
      </c>
    </row>
    <row r="64" ht="15" customHeight="1" s="31">
      <c r="B64" s="34" t="inlineStr">
        <is>
          <t>Total Cash Flows (Levered)</t>
        </is>
      </c>
      <c r="C64" s="49">
        <f>C44</f>
        <v/>
      </c>
      <c r="D64" s="49">
        <f>SUMIFS($D44:$W44,$D$35:$W$35,"&gt;="&amp;1,$D$35:$W$35,"&lt;="&amp;4)</f>
        <v/>
      </c>
      <c r="E64" s="49">
        <f>SUMIFS($D44:$W44,$D$35:$W$35,"&gt;="&amp;5,$D$35:$W$35,"&lt;="&amp;8)</f>
        <v/>
      </c>
      <c r="F64" s="49">
        <f>SUMIFS($D44:$W44,$D$35:$W$35,"&gt;="&amp;9,$D$35:$W$35,"&lt;="&amp;12)</f>
        <v/>
      </c>
      <c r="G64" s="49">
        <f>SUMIFS($D44:$W44,$D$35:$W$35,"&gt;="&amp;13,$D$35:$W$35,"&lt;="&amp;16)</f>
        <v/>
      </c>
      <c r="H64" s="49">
        <f>SUMIFS($D44:$W44,$D$35:$W$35,"&gt;="&amp;17,$D$35:$W$35,"&lt;="&amp;20)</f>
        <v/>
      </c>
    </row>
    <row r="65" ht="15" customHeight="1" s="31">
      <c r="B65" s="34" t="inlineStr">
        <is>
          <t>Total Cash Flows (Unlevered)</t>
        </is>
      </c>
      <c r="C65" s="49">
        <f>C45</f>
        <v/>
      </c>
      <c r="D65" s="49">
        <f>SUMIFS($D45:$W45,$D$35:$W$35,"&gt;="&amp;1,$D$35:$W$35,"&lt;="&amp;4)</f>
        <v/>
      </c>
      <c r="E65" s="49">
        <f>SUMIFS($D45:$W45,$D$35:$W$35,"&gt;="&amp;5,$D$35:$W$35,"&lt;="&amp;8)</f>
        <v/>
      </c>
      <c r="F65" s="49">
        <f>SUMIFS($D45:$W45,$D$35:$W$35,"&gt;="&amp;9,$D$35:$W$35,"&lt;="&amp;12)</f>
        <v/>
      </c>
      <c r="G65" s="49">
        <f>SUMIFS($D45:$W45,$D$35:$W$35,"&gt;="&amp;13,$D$35:$W$35,"&lt;="&amp;16)</f>
        <v/>
      </c>
      <c r="H65" s="49">
        <f>SUMIFS($D45:$W45,$D$35:$W$35,"&gt;="&amp;17,$D$35:$W$35,"&lt;="&amp;20)</f>
        <v/>
      </c>
    </row>
    <row r="67" ht="15" customHeight="1" s="31">
      <c r="B67" s="34" t="inlineStr">
        <is>
          <t>Sensitivity Table — Levered IRR (annualized): spread vs. leverage multiple (hold, PIK, amortization, exit price as set above)</t>
        </is>
      </c>
    </row>
    <row r="68" ht="15" customHeight="1" s="31">
      <c r="D68" s="34" t="inlineStr">
        <is>
          <t>Leverage (x)</t>
        </is>
      </c>
    </row>
    <row r="69" ht="15" customHeight="1" s="31">
      <c r="B69" s="54" t="inlineStr">
        <is>
          <t>Coupon (first quarter)</t>
        </is>
      </c>
      <c r="C69" s="54" t="inlineStr">
        <is>
          <t>Spread (bps)</t>
        </is>
      </c>
      <c r="D69" s="55" t="n">
        <v>0.75</v>
      </c>
      <c r="E69" s="55" t="n">
        <v>1</v>
      </c>
      <c r="F69" s="55" t="n">
        <v>1.25</v>
      </c>
    </row>
    <row r="70" ht="15" customHeight="1" s="31">
      <c r="B70" s="41">
        <f>INDEX(Curve!$C$6:$C$25,MIN(20,1+$C$14))+C70/10000</f>
        <v/>
      </c>
      <c r="C70" s="45">
        <f>Sens!C7</f>
        <v/>
      </c>
      <c r="D70" s="41">
        <f>IFERROR((1+IRR(Sens!C10:W10,0.02))^4-1,"Undefined")</f>
        <v/>
      </c>
      <c r="E70" s="41">
        <f>IFERROR((1+IRR(Sens!C15:W15,0.02))^4-1,"Undefined")</f>
        <v/>
      </c>
      <c r="F70" s="41">
        <f>IFERROR((1+IRR(Sens!C20:W20,0.02))^4-1,"Undefined")</f>
        <v/>
      </c>
    </row>
    <row r="71" ht="15" customHeight="1" s="31">
      <c r="B71" s="41">
        <f>INDEX(Curve!$C$6:$C$25,MIN(20,1+$C$14))+C71/10000</f>
        <v/>
      </c>
      <c r="C71" s="45">
        <f>Sens!C22</f>
        <v/>
      </c>
      <c r="D71" s="41">
        <f>IFERROR((1+IRR(Sens!C25:W25,0.02))^4-1,"Undefined")</f>
        <v/>
      </c>
      <c r="E71" s="41">
        <f>IFERROR((1+IRR(Sens!C30:W30,0.02))^4-1,"Undefined")</f>
        <v/>
      </c>
      <c r="F71" s="41">
        <f>IFERROR((1+IRR(Sens!C35:W35,0.02))^4-1,"Undefined")</f>
        <v/>
      </c>
    </row>
    <row r="72" ht="15" customHeight="1" s="31">
      <c r="B72" s="41">
        <f>INDEX(Curve!$C$6:$C$25,MIN(20,1+$C$14))+C72/10000</f>
        <v/>
      </c>
      <c r="C72" s="45">
        <f>Sens!C37</f>
        <v/>
      </c>
      <c r="D72" s="41">
        <f>IFERROR((1+IRR(Sens!C40:W40,0.02))^4-1,"Undefined")</f>
        <v/>
      </c>
      <c r="E72" s="41">
        <f>IFERROR((1+IRR(Sens!C45:W45,0.02))^4-1,"Undefined")</f>
        <v/>
      </c>
      <c r="F72" s="41">
        <f>IFERROR((1+IRR(Sens!C50:W50,0.02))^4-1,"Undefined")</f>
        <v/>
      </c>
    </row>
    <row r="73" ht="15" customHeight="1" s="31">
      <c r="B73" s="41">
        <f>INDEX(Curve!$C$6:$C$25,MIN(20,1+$C$14))+C73/10000</f>
        <v/>
      </c>
      <c r="C73" s="45">
        <f>Sens!C52</f>
        <v/>
      </c>
      <c r="D73" s="41">
        <f>IFERROR((1+IRR(Sens!C55:W55,0.02))^4-1,"Undefined")</f>
        <v/>
      </c>
      <c r="E73" s="41">
        <f>IFERROR((1+IRR(Sens!C60:W60,0.02))^4-1,"Undefined")</f>
        <v/>
      </c>
      <c r="F73" s="41">
        <f>IFERROR((1+IRR(Sens!C65:W65,0.02))^4-1,"Undefined")</f>
        <v/>
      </c>
    </row>
    <row r="74" ht="15" customHeight="1" s="31">
      <c r="B74" s="41">
        <f>INDEX(Curve!$C$6:$C$25,MIN(20,1+$C$14))+C74/10000</f>
        <v/>
      </c>
      <c r="C74" s="45">
        <f>Sens!C67</f>
        <v/>
      </c>
      <c r="D74" s="41">
        <f>IFERROR((1+IRR(Sens!C70:W70,0.02))^4-1,"Undefined")</f>
        <v/>
      </c>
      <c r="E74" s="41">
        <f>IFERROR((1+IRR(Sens!C75:W75,0.02))^4-1,"Undefined")</f>
        <v/>
      </c>
      <c r="F74" s="41">
        <f>IFERROR((1+IRR(Sens!C80:W80,0.02))^4-1,"Undefined")</f>
        <v/>
      </c>
    </row>
    <row r="76" ht="15" customHeight="1" s="31">
      <c r="B76" s="33" t="inlineStr">
        <is>
          <t>Reconciliation check (1.0x column at the real spread vs. main levered IRR; applies only when the leverage input is 1.00x):</t>
        </is>
      </c>
    </row>
    <row r="77" ht="15" customHeight="1" s="31">
      <c r="B77" s="34">
        <f>IF($I$6=1,IF(ABS(E72-D49)&lt;0.0000001,"OK — reconciles","MISMATCH"),"n/a (leverage input is not 1.00x)")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E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30" min="1" max="1"/>
    <col width="9" customWidth="1" style="30" min="2" max="2"/>
    <col width="18" customWidth="1" style="30" min="3" max="3"/>
    <col width="16" customWidth="1" style="30" min="4" max="4"/>
    <col width="46" customWidth="1" style="30" min="5" max="5"/>
  </cols>
  <sheetData>
    <row r="2" ht="17.35" customHeight="1" s="31">
      <c r="B2" s="32" t="inlineStr">
        <is>
          <t>Quarterly SOFR forward assumption (used by the Returns tab)</t>
        </is>
      </c>
    </row>
    <row r="3" ht="15" customHeight="1" s="31">
      <c r="B3" s="33" t="inlineStr">
        <is>
          <t>Overnight-SOFR-derived forward proxy, NOT CME Term SOFR. Quarter 1 starts on the date in D6 (curve as-of date). The Returns tab shifts the curve to the funding date. An uploaded curve overwrites C6:C25 and D6.</t>
        </is>
      </c>
    </row>
    <row r="5" ht="15" customHeight="1" s="31">
      <c r="B5" s="50" t="inlineStr">
        <is>
          <t>Quarter</t>
        </is>
      </c>
      <c r="C5" s="50" t="inlineStr">
        <is>
          <t>SOFR forward used</t>
        </is>
      </c>
      <c r="D5" s="50" t="inlineStr">
        <is>
          <t>Quarter starts</t>
        </is>
      </c>
      <c r="E5" s="50" t="inlineStr">
        <is>
          <t>Basis</t>
        </is>
      </c>
    </row>
    <row r="6" ht="15" customHeight="1" s="31">
      <c r="B6" s="56" t="n">
        <v>1</v>
      </c>
      <c r="C6" s="57" t="n">
        <v>0.0408</v>
      </c>
      <c r="D6" s="44" t="n">
        <v>46295</v>
      </c>
      <c r="E6" s="33" t="inlineStr">
        <is>
          <t>Anchor: 3M swap rate (Oct 15, 2026)</t>
        </is>
      </c>
    </row>
    <row r="7" ht="15" customHeight="1" s="31">
      <c r="B7" s="56" t="n">
        <v>2</v>
      </c>
      <c r="C7" s="57" t="n">
        <v>0.0428</v>
      </c>
      <c r="D7" s="58">
        <f>EOMONTH(D6,3)</f>
        <v/>
      </c>
      <c r="E7" s="33" t="inlineStr">
        <is>
          <t>Anchor: 3M forward, year-end (Oct 16, 2026)</t>
        </is>
      </c>
    </row>
    <row r="8" ht="15" customHeight="1" s="31">
      <c r="B8" s="56" t="n">
        <v>3</v>
      </c>
      <c r="C8" s="57" t="n">
        <v>0.04365</v>
      </c>
      <c r="D8" s="58">
        <f>EOMONTH(D7,3)</f>
        <v/>
      </c>
      <c r="E8" s="33" t="inlineStr">
        <is>
          <t>Straight-line between anchors</t>
        </is>
      </c>
    </row>
    <row r="9" ht="15" customHeight="1" s="31">
      <c r="B9" s="56" t="n">
        <v>4</v>
      </c>
      <c r="C9" s="57" t="n">
        <v>0.0445</v>
      </c>
      <c r="D9" s="58">
        <f>EOMONTH(D8,3)</f>
        <v/>
      </c>
      <c r="E9" s="33" t="inlineStr">
        <is>
          <t>Straight-line between anchors</t>
        </is>
      </c>
    </row>
    <row r="10" ht="15" customHeight="1" s="31">
      <c r="B10" s="56" t="n">
        <v>5</v>
      </c>
      <c r="C10" s="57" t="n">
        <v>0.04535</v>
      </c>
      <c r="D10" s="58">
        <f>EOMONTH(D9,3)</f>
        <v/>
      </c>
      <c r="E10" s="33" t="inlineStr">
        <is>
          <t>Straight-line between anchors</t>
        </is>
      </c>
    </row>
    <row r="11" ht="15" customHeight="1" s="31">
      <c r="B11" s="56" t="n">
        <v>6</v>
      </c>
      <c r="C11" s="57" t="n">
        <v>0.0462</v>
      </c>
      <c r="D11" s="58">
        <f>EOMONTH(D10,3)</f>
        <v/>
      </c>
      <c r="E11" s="33" t="inlineStr">
        <is>
          <t>Anchor: 3M forward, year-end (Oct 16, 2026)</t>
        </is>
      </c>
    </row>
    <row r="12" ht="15" customHeight="1" s="31">
      <c r="B12" s="56" t="n">
        <v>7</v>
      </c>
      <c r="C12" s="57" t="n">
        <v>0.0464</v>
      </c>
      <c r="D12" s="58">
        <f>EOMONTH(D11,3)</f>
        <v/>
      </c>
      <c r="E12" s="33" t="inlineStr">
        <is>
          <t>Straight-line between anchors</t>
        </is>
      </c>
    </row>
    <row r="13" ht="15" customHeight="1" s="31">
      <c r="B13" s="56" t="n">
        <v>8</v>
      </c>
      <c r="C13" s="57" t="n">
        <v>0.0466</v>
      </c>
      <c r="D13" s="58">
        <f>EOMONTH(D12,3)</f>
        <v/>
      </c>
      <c r="E13" s="33" t="inlineStr">
        <is>
          <t>Straight-line between anchors</t>
        </is>
      </c>
    </row>
    <row r="14" ht="15" customHeight="1" s="31">
      <c r="B14" s="56" t="n">
        <v>9</v>
      </c>
      <c r="C14" s="57" t="n">
        <v>0.0468</v>
      </c>
      <c r="D14" s="58">
        <f>EOMONTH(D13,3)</f>
        <v/>
      </c>
      <c r="E14" s="33" t="inlineStr">
        <is>
          <t>Straight-line between anchors</t>
        </is>
      </c>
    </row>
    <row r="15" ht="15" customHeight="1" s="31">
      <c r="B15" s="56" t="n">
        <v>10</v>
      </c>
      <c r="C15" s="57" t="n">
        <v>0.047</v>
      </c>
      <c r="D15" s="58">
        <f>EOMONTH(D14,3)</f>
        <v/>
      </c>
      <c r="E15" s="33" t="inlineStr">
        <is>
          <t>Anchor: 3M forward, year-end (Oct 16, 2026)</t>
        </is>
      </c>
    </row>
    <row r="16" ht="15" customHeight="1" s="31">
      <c r="B16" s="56" t="n">
        <v>11</v>
      </c>
      <c r="C16" s="57" t="n">
        <v>0.046575</v>
      </c>
      <c r="D16" s="58">
        <f>EOMONTH(D15,3)</f>
        <v/>
      </c>
      <c r="E16" s="33" t="inlineStr">
        <is>
          <t>Straight-line between anchors</t>
        </is>
      </c>
    </row>
    <row r="17" ht="15" customHeight="1" s="31">
      <c r="B17" s="56" t="n">
        <v>12</v>
      </c>
      <c r="C17" s="57" t="n">
        <v>0.04615</v>
      </c>
      <c r="D17" s="58">
        <f>EOMONTH(D16,3)</f>
        <v/>
      </c>
      <c r="E17" s="33" t="inlineStr">
        <is>
          <t>Straight-line between anchors</t>
        </is>
      </c>
    </row>
    <row r="18" ht="15" customHeight="1" s="31">
      <c r="B18" s="56" t="n">
        <v>13</v>
      </c>
      <c r="C18" s="57" t="n">
        <v>0.045725</v>
      </c>
      <c r="D18" s="58">
        <f>EOMONTH(D17,3)</f>
        <v/>
      </c>
      <c r="E18" s="33" t="inlineStr">
        <is>
          <t>Straight-line between anchors</t>
        </is>
      </c>
    </row>
    <row r="19" ht="15" customHeight="1" s="31">
      <c r="B19" s="56" t="n">
        <v>14</v>
      </c>
      <c r="C19" s="57" t="n">
        <v>0.0453</v>
      </c>
      <c r="D19" s="58">
        <f>EOMONTH(D18,3)</f>
        <v/>
      </c>
      <c r="E19" s="33" t="inlineStr">
        <is>
          <t>Anchor: 3M forward, year-end (Oct 16, 2026)</t>
        </is>
      </c>
    </row>
    <row r="20" ht="15" customHeight="1" s="31">
      <c r="B20" s="56" t="n">
        <v>15</v>
      </c>
      <c r="C20" s="57" t="n">
        <v>0.0453</v>
      </c>
      <c r="D20" s="58">
        <f>EOMONTH(D19,3)</f>
        <v/>
      </c>
      <c r="E20" s="33" t="inlineStr">
        <is>
          <t>Held flat after last published point</t>
        </is>
      </c>
    </row>
    <row r="21" ht="15" customHeight="1" s="31">
      <c r="B21" s="56" t="n">
        <v>16</v>
      </c>
      <c r="C21" s="57" t="n">
        <v>0.0453</v>
      </c>
      <c r="D21" s="58">
        <f>EOMONTH(D20,3)</f>
        <v/>
      </c>
      <c r="E21" s="33" t="inlineStr">
        <is>
          <t>Held flat after last published point</t>
        </is>
      </c>
    </row>
    <row r="22" ht="15" customHeight="1" s="31">
      <c r="B22" s="56" t="n">
        <v>17</v>
      </c>
      <c r="C22" s="57" t="n">
        <v>0.0453</v>
      </c>
      <c r="D22" s="58">
        <f>EOMONTH(D21,3)</f>
        <v/>
      </c>
      <c r="E22" s="33" t="inlineStr">
        <is>
          <t>Held flat after last published point</t>
        </is>
      </c>
    </row>
    <row r="23" ht="15" customHeight="1" s="31">
      <c r="B23" s="56" t="n">
        <v>18</v>
      </c>
      <c r="C23" s="57" t="n">
        <v>0.0453</v>
      </c>
      <c r="D23" s="58">
        <f>EOMONTH(D22,3)</f>
        <v/>
      </c>
      <c r="E23" s="33" t="inlineStr">
        <is>
          <t>Held flat after last published point</t>
        </is>
      </c>
    </row>
    <row r="24" ht="15" customHeight="1" s="31">
      <c r="B24" s="56" t="n">
        <v>19</v>
      </c>
      <c r="C24" s="57" t="n">
        <v>0.0453</v>
      </c>
      <c r="D24" s="58">
        <f>EOMONTH(D23,3)</f>
        <v/>
      </c>
      <c r="E24" s="33" t="inlineStr">
        <is>
          <t>Held flat after last published point</t>
        </is>
      </c>
    </row>
    <row r="25" ht="15" customHeight="1" s="31">
      <c r="B25" s="56" t="n">
        <v>20</v>
      </c>
      <c r="C25" s="57" t="n">
        <v>0.0453</v>
      </c>
      <c r="D25" s="58">
        <f>EOMONTH(D24,3)</f>
        <v/>
      </c>
      <c r="E25" s="33" t="inlineStr">
        <is>
          <t>Held flat after last published point</t>
        </is>
      </c>
    </row>
    <row r="28" ht="15" customHeight="1" s="31">
      <c r="B28" s="34" t="inlineStr">
        <is>
          <t>Anchor sources</t>
        </is>
      </c>
    </row>
    <row r="29" ht="15" customHeight="1" s="31">
      <c r="B29" s="33" t="inlineStr">
        <is>
          <t>Quarter 1: USD SOFR swap rate, 3 Month, Sept 24, 2026 (bluegamma.io/usd-swap-rates). Spot overnight SOFR was 3.88% (Sept 29, 2026).</t>
        </is>
      </c>
    </row>
    <row r="30" ht="15" customHeight="1" s="31">
      <c r="B30" s="33" t="inlineStr">
        <is>
          <t>Quarter starting Dec 31, 2026 / 2027 / 2028 / 2029: SOFR forward, 4.38% / 4.82% / 4.91% / 4.70% (bluegamma.io/sofr-forward-curve, updated Sept 29, 2026).</t>
        </is>
      </c>
    </row>
    <row r="31" ht="15" customHeight="1" s="31">
      <c r="B31" s="33" t="inlineStr">
        <is>
          <t>Quarters between anchors are straight-line interpolated. After Dec 2029 the rate is held flat at 4.70% (an assumption; the free source does not publish beyond 2029).</t>
        </is>
      </c>
    </row>
    <row r="32" ht="15" customHeight="1" s="31">
      <c r="B32" s="33" t="inlineStr">
        <is>
          <t>Derived from overnight SOFR swaps; a proxy for forward SOFR, not CME Term SOFR. Replace with a Term SOFR curve for decision-grade analysis.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2:W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0" customWidth="1" style="30" min="2" max="2"/>
  </cols>
  <sheetData>
    <row r="2" ht="17.35" customHeight="1" s="31">
      <c r="B2" s="32" t="inlineStr">
        <is>
          <t>Sensitivity working area (levered): 5 spread offsets x 3 leverage multiples, each a full independent cash flow</t>
        </is>
      </c>
    </row>
    <row r="3" ht="15" customHeight="1" s="31">
      <c r="B3" s="33" t="inlineStr">
        <is>
          <t>Same formulas as the Returns tab. Hold, PIK, amortization, exit price and curve shift come from the Returns tab inputs.</t>
        </is>
      </c>
    </row>
    <row r="5" ht="15" customHeight="1" s="31">
      <c r="B5" s="34" t="inlineStr">
        <is>
          <t>Quarter</t>
        </is>
      </c>
      <c r="C5" s="46" t="n">
        <v>0</v>
      </c>
      <c r="D5" s="46" t="n">
        <v>1</v>
      </c>
      <c r="E5" s="46" t="n">
        <v>2</v>
      </c>
      <c r="F5" s="46" t="n">
        <v>3</v>
      </c>
      <c r="G5" s="46" t="n">
        <v>4</v>
      </c>
      <c r="H5" s="46" t="n">
        <v>5</v>
      </c>
      <c r="I5" s="46" t="n">
        <v>6</v>
      </c>
      <c r="J5" s="46" t="n">
        <v>7</v>
      </c>
      <c r="K5" s="46" t="n">
        <v>8</v>
      </c>
      <c r="L5" s="46" t="n">
        <v>9</v>
      </c>
      <c r="M5" s="46" t="n">
        <v>10</v>
      </c>
      <c r="N5" s="46" t="n">
        <v>11</v>
      </c>
      <c r="O5" s="46" t="n">
        <v>12</v>
      </c>
      <c r="P5" s="46" t="n">
        <v>13</v>
      </c>
      <c r="Q5" s="46" t="n">
        <v>14</v>
      </c>
      <c r="R5" s="46" t="n">
        <v>15</v>
      </c>
      <c r="S5" s="46" t="n">
        <v>16</v>
      </c>
      <c r="T5" s="46" t="n">
        <v>17</v>
      </c>
      <c r="U5" s="46" t="n">
        <v>18</v>
      </c>
      <c r="V5" s="46" t="n">
        <v>19</v>
      </c>
      <c r="W5" s="46" t="n">
        <v>20</v>
      </c>
    </row>
    <row r="7" ht="15" customHeight="1" s="31">
      <c r="B7" s="34" t="inlineStr">
        <is>
          <t>Spread offset -100 bps, leverage 0.75x — parameters (spread, leverage, advance rate, financing at close)</t>
        </is>
      </c>
      <c r="C7" s="45">
        <f>Returns!$C$7+(-100)</f>
        <v/>
      </c>
      <c r="D7" s="59" t="n">
        <v>0.75</v>
      </c>
      <c r="E7" s="60">
        <f>D7/(1+D7)</f>
        <v/>
      </c>
      <c r="F7" s="42">
        <f>Returns!$C$6*(1-Returns!$D$8)*E7</f>
        <v/>
      </c>
    </row>
    <row r="8" ht="15" customHeight="1" s="31">
      <c r="B8" s="35" t="inlineStr">
        <is>
          <t>Loan ending balance (before exit payoff)</t>
        </is>
      </c>
      <c r="C8" s="42">
        <f>Returns!$C$6</f>
        <v/>
      </c>
      <c r="D8" s="42">
        <f>IF(Returns!D20=1,C8+Returns!D24*C8*(Returns!D22+$C7/10000)/4-IF(AND(Returns!D20=1,Returns!D24=0),MIN(C8,Returns!$C$6*Returns!$C$11/4),0),0)</f>
        <v/>
      </c>
      <c r="E8" s="42">
        <f>IF(Returns!E20=1,D8+Returns!E24*D8*(Returns!E22+$C7/10000)/4-IF(AND(Returns!E20=1,Returns!E24=0),MIN(D8,Returns!$C$6*Returns!$C$11/4),0),0)</f>
        <v/>
      </c>
      <c r="F8" s="42">
        <f>IF(Returns!F20=1,E8+Returns!F24*E8*(Returns!F22+$C7/10000)/4-IF(AND(Returns!F20=1,Returns!F24=0),MIN(E8,Returns!$C$6*Returns!$C$11/4),0),0)</f>
        <v/>
      </c>
      <c r="G8" s="42">
        <f>IF(Returns!G20=1,F8+Returns!G24*F8*(Returns!G22+$C7/10000)/4-IF(AND(Returns!G20=1,Returns!G24=0),MIN(F8,Returns!$C$6*Returns!$C$11/4),0),0)</f>
        <v/>
      </c>
      <c r="H8" s="42">
        <f>IF(Returns!H20=1,G8+Returns!H24*G8*(Returns!H22+$C7/10000)/4-IF(AND(Returns!H20=1,Returns!H24=0),MIN(G8,Returns!$C$6*Returns!$C$11/4),0),0)</f>
        <v/>
      </c>
      <c r="I8" s="42">
        <f>IF(Returns!I20=1,H8+Returns!I24*H8*(Returns!I22+$C7/10000)/4-IF(AND(Returns!I20=1,Returns!I24=0),MIN(H8,Returns!$C$6*Returns!$C$11/4),0),0)</f>
        <v/>
      </c>
      <c r="J8" s="42">
        <f>IF(Returns!J20=1,I8+Returns!J24*I8*(Returns!J22+$C7/10000)/4-IF(AND(Returns!J20=1,Returns!J24=0),MIN(I8,Returns!$C$6*Returns!$C$11/4),0),0)</f>
        <v/>
      </c>
      <c r="K8" s="42">
        <f>IF(Returns!K20=1,J8+Returns!K24*J8*(Returns!K22+$C7/10000)/4-IF(AND(Returns!K20=1,Returns!K24=0),MIN(J8,Returns!$C$6*Returns!$C$11/4),0),0)</f>
        <v/>
      </c>
      <c r="L8" s="42">
        <f>IF(Returns!L20=1,K8+Returns!L24*K8*(Returns!L22+$C7/10000)/4-IF(AND(Returns!L20=1,Returns!L24=0),MIN(K8,Returns!$C$6*Returns!$C$11/4),0),0)</f>
        <v/>
      </c>
      <c r="M8" s="42">
        <f>IF(Returns!M20=1,L8+Returns!M24*L8*(Returns!M22+$C7/10000)/4-IF(AND(Returns!M20=1,Returns!M24=0),MIN(L8,Returns!$C$6*Returns!$C$11/4),0),0)</f>
        <v/>
      </c>
      <c r="N8" s="42">
        <f>IF(Returns!N20=1,M8+Returns!N24*M8*(Returns!N22+$C7/10000)/4-IF(AND(Returns!N20=1,Returns!N24=0),MIN(M8,Returns!$C$6*Returns!$C$11/4),0),0)</f>
        <v/>
      </c>
      <c r="O8" s="42">
        <f>IF(Returns!O20=1,N8+Returns!O24*N8*(Returns!O22+$C7/10000)/4-IF(AND(Returns!O20=1,Returns!O24=0),MIN(N8,Returns!$C$6*Returns!$C$11/4),0),0)</f>
        <v/>
      </c>
      <c r="P8" s="42">
        <f>IF(Returns!P20=1,O8+Returns!P24*O8*(Returns!P22+$C7/10000)/4-IF(AND(Returns!P20=1,Returns!P24=0),MIN(O8,Returns!$C$6*Returns!$C$11/4),0),0)</f>
        <v/>
      </c>
      <c r="Q8" s="42">
        <f>IF(Returns!Q20=1,P8+Returns!Q24*P8*(Returns!Q22+$C7/10000)/4-IF(AND(Returns!Q20=1,Returns!Q24=0),MIN(P8,Returns!$C$6*Returns!$C$11/4),0),0)</f>
        <v/>
      </c>
      <c r="R8" s="42">
        <f>IF(Returns!R20=1,Q8+Returns!R24*Q8*(Returns!R22+$C7/10000)/4-IF(AND(Returns!R20=1,Returns!R24=0),MIN(Q8,Returns!$C$6*Returns!$C$11/4),0),0)</f>
        <v/>
      </c>
      <c r="S8" s="42">
        <f>IF(Returns!S20=1,R8+Returns!S24*R8*(Returns!S22+$C7/10000)/4-IF(AND(Returns!S20=1,Returns!S24=0),MIN(R8,Returns!$C$6*Returns!$C$11/4),0),0)</f>
        <v/>
      </c>
      <c r="T8" s="42">
        <f>IF(Returns!T20=1,S8+Returns!T24*S8*(Returns!T22+$C7/10000)/4-IF(AND(Returns!T20=1,Returns!T24=0),MIN(S8,Returns!$C$6*Returns!$C$11/4),0),0)</f>
        <v/>
      </c>
      <c r="U8" s="42">
        <f>IF(Returns!U20=1,T8+Returns!U24*T8*(Returns!U22+$C7/10000)/4-IF(AND(Returns!U20=1,Returns!U24=0),MIN(T8,Returns!$C$6*Returns!$C$11/4),0),0)</f>
        <v/>
      </c>
      <c r="V8" s="42">
        <f>IF(Returns!V20=1,U8+Returns!V24*U8*(Returns!V22+$C7/10000)/4-IF(AND(Returns!V20=1,Returns!V24=0),MIN(U8,Returns!$C$6*Returns!$C$11/4),0),0)</f>
        <v/>
      </c>
      <c r="W8" s="42">
        <f>IF(Returns!W20=1,V8+Returns!W24*V8*(Returns!W22+$C7/10000)/4-IF(AND(Returns!W20=1,Returns!W24=0),MIN(V8,Returns!$C$6*Returns!$C$11/4),0),0)</f>
        <v/>
      </c>
    </row>
    <row r="9" ht="15" customHeight="1" s="31">
      <c r="B9" s="35" t="inlineStr">
        <is>
          <t>Financing line ending balance (before exit payoff)</t>
        </is>
      </c>
      <c r="C9" s="42">
        <f>$F7</f>
        <v/>
      </c>
      <c r="D9" s="42">
        <f>IF(Returns!D20=1,C9-$F7*IF(AND(Returns!D20=1,Returns!D24=0),MIN(C8,Returns!$C$6*Returns!$C$11/4),0)/Returns!$C$6,0)</f>
        <v/>
      </c>
      <c r="E9" s="42">
        <f>IF(Returns!E20=1,D9-$F7*IF(AND(Returns!E20=1,Returns!E24=0),MIN(D8,Returns!$C$6*Returns!$C$11/4),0)/Returns!$C$6,0)</f>
        <v/>
      </c>
      <c r="F9" s="42">
        <f>IF(Returns!F20=1,E9-$F7*IF(AND(Returns!F20=1,Returns!F24=0),MIN(E8,Returns!$C$6*Returns!$C$11/4),0)/Returns!$C$6,0)</f>
        <v/>
      </c>
      <c r="G9" s="42">
        <f>IF(Returns!G20=1,F9-$F7*IF(AND(Returns!G20=1,Returns!G24=0),MIN(F8,Returns!$C$6*Returns!$C$11/4),0)/Returns!$C$6,0)</f>
        <v/>
      </c>
      <c r="H9" s="42">
        <f>IF(Returns!H20=1,G9-$F7*IF(AND(Returns!H20=1,Returns!H24=0),MIN(G8,Returns!$C$6*Returns!$C$11/4),0)/Returns!$C$6,0)</f>
        <v/>
      </c>
      <c r="I9" s="42">
        <f>IF(Returns!I20=1,H9-$F7*IF(AND(Returns!I20=1,Returns!I24=0),MIN(H8,Returns!$C$6*Returns!$C$11/4),0)/Returns!$C$6,0)</f>
        <v/>
      </c>
      <c r="J9" s="42">
        <f>IF(Returns!J20=1,I9-$F7*IF(AND(Returns!J20=1,Returns!J24=0),MIN(I8,Returns!$C$6*Returns!$C$11/4),0)/Returns!$C$6,0)</f>
        <v/>
      </c>
      <c r="K9" s="42">
        <f>IF(Returns!K20=1,J9-$F7*IF(AND(Returns!K20=1,Returns!K24=0),MIN(J8,Returns!$C$6*Returns!$C$11/4),0)/Returns!$C$6,0)</f>
        <v/>
      </c>
      <c r="L9" s="42">
        <f>IF(Returns!L20=1,K9-$F7*IF(AND(Returns!L20=1,Returns!L24=0),MIN(K8,Returns!$C$6*Returns!$C$11/4),0)/Returns!$C$6,0)</f>
        <v/>
      </c>
      <c r="M9" s="42">
        <f>IF(Returns!M20=1,L9-$F7*IF(AND(Returns!M20=1,Returns!M24=0),MIN(L8,Returns!$C$6*Returns!$C$11/4),0)/Returns!$C$6,0)</f>
        <v/>
      </c>
      <c r="N9" s="42">
        <f>IF(Returns!N20=1,M9-$F7*IF(AND(Returns!N20=1,Returns!N24=0),MIN(M8,Returns!$C$6*Returns!$C$11/4),0)/Returns!$C$6,0)</f>
        <v/>
      </c>
      <c r="O9" s="42">
        <f>IF(Returns!O20=1,N9-$F7*IF(AND(Returns!O20=1,Returns!O24=0),MIN(N8,Returns!$C$6*Returns!$C$11/4),0)/Returns!$C$6,0)</f>
        <v/>
      </c>
      <c r="P9" s="42">
        <f>IF(Returns!P20=1,O9-$F7*IF(AND(Returns!P20=1,Returns!P24=0),MIN(O8,Returns!$C$6*Returns!$C$11/4),0)/Returns!$C$6,0)</f>
        <v/>
      </c>
      <c r="Q9" s="42">
        <f>IF(Returns!Q20=1,P9-$F7*IF(AND(Returns!Q20=1,Returns!Q24=0),MIN(P8,Returns!$C$6*Returns!$C$11/4),0)/Returns!$C$6,0)</f>
        <v/>
      </c>
      <c r="R9" s="42">
        <f>IF(Returns!R20=1,Q9-$F7*IF(AND(Returns!R20=1,Returns!R24=0),MIN(Q8,Returns!$C$6*Returns!$C$11/4),0)/Returns!$C$6,0)</f>
        <v/>
      </c>
      <c r="S9" s="42">
        <f>IF(Returns!S20=1,R9-$F7*IF(AND(Returns!S20=1,Returns!S24=0),MIN(R8,Returns!$C$6*Returns!$C$11/4),0)/Returns!$C$6,0)</f>
        <v/>
      </c>
      <c r="T9" s="42">
        <f>IF(Returns!T20=1,S9-$F7*IF(AND(Returns!T20=1,Returns!T24=0),MIN(S8,Returns!$C$6*Returns!$C$11/4),0)/Returns!$C$6,0)</f>
        <v/>
      </c>
      <c r="U9" s="42">
        <f>IF(Returns!U20=1,T9-$F7*IF(AND(Returns!U20=1,Returns!U24=0),MIN(T8,Returns!$C$6*Returns!$C$11/4),0)/Returns!$C$6,0)</f>
        <v/>
      </c>
      <c r="V9" s="42">
        <f>IF(Returns!V20=1,U9-$F7*IF(AND(Returns!V20=1,Returns!V24=0),MIN(U8,Returns!$C$6*Returns!$C$11/4),0)/Returns!$C$6,0)</f>
        <v/>
      </c>
      <c r="W9" s="42">
        <f>IF(Returns!W20=1,V9-$F7*IF(AND(Returns!W20=1,Returns!W24=0),MIN(V8,Returns!$C$6*Returns!$C$11/4),0)/Returns!$C$6,0)</f>
        <v/>
      </c>
    </row>
    <row r="10" ht="15" customHeight="1" s="31">
      <c r="B10" s="35" t="inlineStr">
        <is>
          <t>Levered net cash flow</t>
        </is>
      </c>
      <c r="C10" s="42">
        <f>-Returns!$C$6*(1-Returns!$D$8)+$F7</f>
        <v/>
      </c>
      <c r="D10" s="42">
        <f>Returns!D20*(1-Returns!D24)*C8*(Returns!D22+$C7/10000)/4+IF(AND(Returns!D20=1,Returns!D24=0),MIN(C8,Returns!$C$6*Returns!$C$11/4),0)+Returns!D21*D8*Returns!$C$12/100-Returns!D20*C9*(Returns!D22+Returns!$I$8/10000)/4-$F7*IF(AND(Returns!D20=1,Returns!D24=0),MIN(C8,Returns!$C$6*Returns!$C$11/4),0)/Returns!$C$6-Returns!D21*D9</f>
        <v/>
      </c>
      <c r="E10" s="42">
        <f>Returns!E20*(1-Returns!E24)*D8*(Returns!E22+$C7/10000)/4+IF(AND(Returns!E20=1,Returns!E24=0),MIN(D8,Returns!$C$6*Returns!$C$11/4),0)+Returns!E21*E8*Returns!$C$12/100-Returns!E20*D9*(Returns!E22+Returns!$I$8/10000)/4-$F7*IF(AND(Returns!E20=1,Returns!E24=0),MIN(D8,Returns!$C$6*Returns!$C$11/4),0)/Returns!$C$6-Returns!E21*E9</f>
        <v/>
      </c>
      <c r="F10" s="42">
        <f>Returns!F20*(1-Returns!F24)*E8*(Returns!F22+$C7/10000)/4+IF(AND(Returns!F20=1,Returns!F24=0),MIN(E8,Returns!$C$6*Returns!$C$11/4),0)+Returns!F21*F8*Returns!$C$12/100-Returns!F20*E9*(Returns!F22+Returns!$I$8/10000)/4-$F7*IF(AND(Returns!F20=1,Returns!F24=0),MIN(E8,Returns!$C$6*Returns!$C$11/4),0)/Returns!$C$6-Returns!F21*F9</f>
        <v/>
      </c>
      <c r="G10" s="42">
        <f>Returns!G20*(1-Returns!G24)*F8*(Returns!G22+$C7/10000)/4+IF(AND(Returns!G20=1,Returns!G24=0),MIN(F8,Returns!$C$6*Returns!$C$11/4),0)+Returns!G21*G8*Returns!$C$12/100-Returns!G20*F9*(Returns!G22+Returns!$I$8/10000)/4-$F7*IF(AND(Returns!G20=1,Returns!G24=0),MIN(F8,Returns!$C$6*Returns!$C$11/4),0)/Returns!$C$6-Returns!G21*G9</f>
        <v/>
      </c>
      <c r="H10" s="42">
        <f>Returns!H20*(1-Returns!H24)*G8*(Returns!H22+$C7/10000)/4+IF(AND(Returns!H20=1,Returns!H24=0),MIN(G8,Returns!$C$6*Returns!$C$11/4),0)+Returns!H21*H8*Returns!$C$12/100-Returns!H20*G9*(Returns!H22+Returns!$I$8/10000)/4-$F7*IF(AND(Returns!H20=1,Returns!H24=0),MIN(G8,Returns!$C$6*Returns!$C$11/4),0)/Returns!$C$6-Returns!H21*H9</f>
        <v/>
      </c>
      <c r="I10" s="42">
        <f>Returns!I20*(1-Returns!I24)*H8*(Returns!I22+$C7/10000)/4+IF(AND(Returns!I20=1,Returns!I24=0),MIN(H8,Returns!$C$6*Returns!$C$11/4),0)+Returns!I21*I8*Returns!$C$12/100-Returns!I20*H9*(Returns!I22+Returns!$I$8/10000)/4-$F7*IF(AND(Returns!I20=1,Returns!I24=0),MIN(H8,Returns!$C$6*Returns!$C$11/4),0)/Returns!$C$6-Returns!I21*I9</f>
        <v/>
      </c>
      <c r="J10" s="42">
        <f>Returns!J20*(1-Returns!J24)*I8*(Returns!J22+$C7/10000)/4+IF(AND(Returns!J20=1,Returns!J24=0),MIN(I8,Returns!$C$6*Returns!$C$11/4),0)+Returns!J21*J8*Returns!$C$12/100-Returns!J20*I9*(Returns!J22+Returns!$I$8/10000)/4-$F7*IF(AND(Returns!J20=1,Returns!J24=0),MIN(I8,Returns!$C$6*Returns!$C$11/4),0)/Returns!$C$6-Returns!J21*J9</f>
        <v/>
      </c>
      <c r="K10" s="42">
        <f>Returns!K20*(1-Returns!K24)*J8*(Returns!K22+$C7/10000)/4+IF(AND(Returns!K20=1,Returns!K24=0),MIN(J8,Returns!$C$6*Returns!$C$11/4),0)+Returns!K21*K8*Returns!$C$12/100-Returns!K20*J9*(Returns!K22+Returns!$I$8/10000)/4-$F7*IF(AND(Returns!K20=1,Returns!K24=0),MIN(J8,Returns!$C$6*Returns!$C$11/4),0)/Returns!$C$6-Returns!K21*K9</f>
        <v/>
      </c>
      <c r="L10" s="42">
        <f>Returns!L20*(1-Returns!L24)*K8*(Returns!L22+$C7/10000)/4+IF(AND(Returns!L20=1,Returns!L24=0),MIN(K8,Returns!$C$6*Returns!$C$11/4),0)+Returns!L21*L8*Returns!$C$12/100-Returns!L20*K9*(Returns!L22+Returns!$I$8/10000)/4-$F7*IF(AND(Returns!L20=1,Returns!L24=0),MIN(K8,Returns!$C$6*Returns!$C$11/4),0)/Returns!$C$6-Returns!L21*L9</f>
        <v/>
      </c>
      <c r="M10" s="42">
        <f>Returns!M20*(1-Returns!M24)*L8*(Returns!M22+$C7/10000)/4+IF(AND(Returns!M20=1,Returns!M24=0),MIN(L8,Returns!$C$6*Returns!$C$11/4),0)+Returns!M21*M8*Returns!$C$12/100-Returns!M20*L9*(Returns!M22+Returns!$I$8/10000)/4-$F7*IF(AND(Returns!M20=1,Returns!M24=0),MIN(L8,Returns!$C$6*Returns!$C$11/4),0)/Returns!$C$6-Returns!M21*M9</f>
        <v/>
      </c>
      <c r="N10" s="42">
        <f>Returns!N20*(1-Returns!N24)*M8*(Returns!N22+$C7/10000)/4+IF(AND(Returns!N20=1,Returns!N24=0),MIN(M8,Returns!$C$6*Returns!$C$11/4),0)+Returns!N21*N8*Returns!$C$12/100-Returns!N20*M9*(Returns!N22+Returns!$I$8/10000)/4-$F7*IF(AND(Returns!N20=1,Returns!N24=0),MIN(M8,Returns!$C$6*Returns!$C$11/4),0)/Returns!$C$6-Returns!N21*N9</f>
        <v/>
      </c>
      <c r="O10" s="42">
        <f>Returns!O20*(1-Returns!O24)*N8*(Returns!O22+$C7/10000)/4+IF(AND(Returns!O20=1,Returns!O24=0),MIN(N8,Returns!$C$6*Returns!$C$11/4),0)+Returns!O21*O8*Returns!$C$12/100-Returns!O20*N9*(Returns!O22+Returns!$I$8/10000)/4-$F7*IF(AND(Returns!O20=1,Returns!O24=0),MIN(N8,Returns!$C$6*Returns!$C$11/4),0)/Returns!$C$6-Returns!O21*O9</f>
        <v/>
      </c>
      <c r="P10" s="42">
        <f>Returns!P20*(1-Returns!P24)*O8*(Returns!P22+$C7/10000)/4+IF(AND(Returns!P20=1,Returns!P24=0),MIN(O8,Returns!$C$6*Returns!$C$11/4),0)+Returns!P21*P8*Returns!$C$12/100-Returns!P20*O9*(Returns!P22+Returns!$I$8/10000)/4-$F7*IF(AND(Returns!P20=1,Returns!P24=0),MIN(O8,Returns!$C$6*Returns!$C$11/4),0)/Returns!$C$6-Returns!P21*P9</f>
        <v/>
      </c>
      <c r="Q10" s="42">
        <f>Returns!Q20*(1-Returns!Q24)*P8*(Returns!Q22+$C7/10000)/4+IF(AND(Returns!Q20=1,Returns!Q24=0),MIN(P8,Returns!$C$6*Returns!$C$11/4),0)+Returns!Q21*Q8*Returns!$C$12/100-Returns!Q20*P9*(Returns!Q22+Returns!$I$8/10000)/4-$F7*IF(AND(Returns!Q20=1,Returns!Q24=0),MIN(P8,Returns!$C$6*Returns!$C$11/4),0)/Returns!$C$6-Returns!Q21*Q9</f>
        <v/>
      </c>
      <c r="R10" s="42">
        <f>Returns!R20*(1-Returns!R24)*Q8*(Returns!R22+$C7/10000)/4+IF(AND(Returns!R20=1,Returns!R24=0),MIN(Q8,Returns!$C$6*Returns!$C$11/4),0)+Returns!R21*R8*Returns!$C$12/100-Returns!R20*Q9*(Returns!R22+Returns!$I$8/10000)/4-$F7*IF(AND(Returns!R20=1,Returns!R24=0),MIN(Q8,Returns!$C$6*Returns!$C$11/4),0)/Returns!$C$6-Returns!R21*R9</f>
        <v/>
      </c>
      <c r="S10" s="42">
        <f>Returns!S20*(1-Returns!S24)*R8*(Returns!S22+$C7/10000)/4+IF(AND(Returns!S20=1,Returns!S24=0),MIN(R8,Returns!$C$6*Returns!$C$11/4),0)+Returns!S21*S8*Returns!$C$12/100-Returns!S20*R9*(Returns!S22+Returns!$I$8/10000)/4-$F7*IF(AND(Returns!S20=1,Returns!S24=0),MIN(R8,Returns!$C$6*Returns!$C$11/4),0)/Returns!$C$6-Returns!S21*S9</f>
        <v/>
      </c>
      <c r="T10" s="42">
        <f>Returns!T20*(1-Returns!T24)*S8*(Returns!T22+$C7/10000)/4+IF(AND(Returns!T20=1,Returns!T24=0),MIN(S8,Returns!$C$6*Returns!$C$11/4),0)+Returns!T21*T8*Returns!$C$12/100-Returns!T20*S9*(Returns!T22+Returns!$I$8/10000)/4-$F7*IF(AND(Returns!T20=1,Returns!T24=0),MIN(S8,Returns!$C$6*Returns!$C$11/4),0)/Returns!$C$6-Returns!T21*T9</f>
        <v/>
      </c>
      <c r="U10" s="42">
        <f>Returns!U20*(1-Returns!U24)*T8*(Returns!U22+$C7/10000)/4+IF(AND(Returns!U20=1,Returns!U24=0),MIN(T8,Returns!$C$6*Returns!$C$11/4),0)+Returns!U21*U8*Returns!$C$12/100-Returns!U20*T9*(Returns!U22+Returns!$I$8/10000)/4-$F7*IF(AND(Returns!U20=1,Returns!U24=0),MIN(T8,Returns!$C$6*Returns!$C$11/4),0)/Returns!$C$6-Returns!U21*U9</f>
        <v/>
      </c>
      <c r="V10" s="42">
        <f>Returns!V20*(1-Returns!V24)*U8*(Returns!V22+$C7/10000)/4+IF(AND(Returns!V20=1,Returns!V24=0),MIN(U8,Returns!$C$6*Returns!$C$11/4),0)+Returns!V21*V8*Returns!$C$12/100-Returns!V20*U9*(Returns!V22+Returns!$I$8/10000)/4-$F7*IF(AND(Returns!V20=1,Returns!V24=0),MIN(U8,Returns!$C$6*Returns!$C$11/4),0)/Returns!$C$6-Returns!V21*V9</f>
        <v/>
      </c>
      <c r="W10" s="42">
        <f>Returns!W20*(1-Returns!W24)*V8*(Returns!W22+$C7/10000)/4+IF(AND(Returns!W20=1,Returns!W24=0),MIN(V8,Returns!$C$6*Returns!$C$11/4),0)+Returns!W21*W8*Returns!$C$12/100-Returns!W20*V9*(Returns!W22+Returns!$I$8/10000)/4-$F7*IF(AND(Returns!W20=1,Returns!W24=0),MIN(V8,Returns!$C$6*Returns!$C$11/4),0)/Returns!$C$6-Returns!W21*W9</f>
        <v/>
      </c>
    </row>
    <row r="12" ht="15" customHeight="1" s="31">
      <c r="B12" s="34" t="inlineStr">
        <is>
          <t>Spread offset -100 bps, leverage 1.00x — parameters (spread, leverage, advance rate, financing at close)</t>
        </is>
      </c>
      <c r="C12" s="45">
        <f>Returns!$C$7+(-100)</f>
        <v/>
      </c>
      <c r="D12" s="59" t="n">
        <v>1</v>
      </c>
      <c r="E12" s="60">
        <f>D12/(1+D12)</f>
        <v/>
      </c>
      <c r="F12" s="42">
        <f>Returns!$C$6*(1-Returns!$D$8)*E12</f>
        <v/>
      </c>
    </row>
    <row r="13" ht="15" customHeight="1" s="31">
      <c r="B13" s="35" t="inlineStr">
        <is>
          <t>Loan ending balance (before exit payoff)</t>
        </is>
      </c>
      <c r="C13" s="42">
        <f>Returns!$C$6</f>
        <v/>
      </c>
      <c r="D13" s="42">
        <f>IF(Returns!D20=1,C13+Returns!D24*C13*(Returns!D22+$C12/10000)/4-IF(AND(Returns!D20=1,Returns!D24=0),MIN(C13,Returns!$C$6*Returns!$C$11/4),0),0)</f>
        <v/>
      </c>
      <c r="E13" s="42">
        <f>IF(Returns!E20=1,D13+Returns!E24*D13*(Returns!E22+$C12/10000)/4-IF(AND(Returns!E20=1,Returns!E24=0),MIN(D13,Returns!$C$6*Returns!$C$11/4),0),0)</f>
        <v/>
      </c>
      <c r="F13" s="42">
        <f>IF(Returns!F20=1,E13+Returns!F24*E13*(Returns!F22+$C12/10000)/4-IF(AND(Returns!F20=1,Returns!F24=0),MIN(E13,Returns!$C$6*Returns!$C$11/4),0),0)</f>
        <v/>
      </c>
      <c r="G13" s="42">
        <f>IF(Returns!G20=1,F13+Returns!G24*F13*(Returns!G22+$C12/10000)/4-IF(AND(Returns!G20=1,Returns!G24=0),MIN(F13,Returns!$C$6*Returns!$C$11/4),0),0)</f>
        <v/>
      </c>
      <c r="H13" s="42">
        <f>IF(Returns!H20=1,G13+Returns!H24*G13*(Returns!H22+$C12/10000)/4-IF(AND(Returns!H20=1,Returns!H24=0),MIN(G13,Returns!$C$6*Returns!$C$11/4),0),0)</f>
        <v/>
      </c>
      <c r="I13" s="42">
        <f>IF(Returns!I20=1,H13+Returns!I24*H13*(Returns!I22+$C12/10000)/4-IF(AND(Returns!I20=1,Returns!I24=0),MIN(H13,Returns!$C$6*Returns!$C$11/4),0),0)</f>
        <v/>
      </c>
      <c r="J13" s="42">
        <f>IF(Returns!J20=1,I13+Returns!J24*I13*(Returns!J22+$C12/10000)/4-IF(AND(Returns!J20=1,Returns!J24=0),MIN(I13,Returns!$C$6*Returns!$C$11/4),0),0)</f>
        <v/>
      </c>
      <c r="K13" s="42">
        <f>IF(Returns!K20=1,J13+Returns!K24*J13*(Returns!K22+$C12/10000)/4-IF(AND(Returns!K20=1,Returns!K24=0),MIN(J13,Returns!$C$6*Returns!$C$11/4),0),0)</f>
        <v/>
      </c>
      <c r="L13" s="42">
        <f>IF(Returns!L20=1,K13+Returns!L24*K13*(Returns!L22+$C12/10000)/4-IF(AND(Returns!L20=1,Returns!L24=0),MIN(K13,Returns!$C$6*Returns!$C$11/4),0),0)</f>
        <v/>
      </c>
      <c r="M13" s="42">
        <f>IF(Returns!M20=1,L13+Returns!M24*L13*(Returns!M22+$C12/10000)/4-IF(AND(Returns!M20=1,Returns!M24=0),MIN(L13,Returns!$C$6*Returns!$C$11/4),0),0)</f>
        <v/>
      </c>
      <c r="N13" s="42">
        <f>IF(Returns!N20=1,M13+Returns!N24*M13*(Returns!N22+$C12/10000)/4-IF(AND(Returns!N20=1,Returns!N24=0),MIN(M13,Returns!$C$6*Returns!$C$11/4),0),0)</f>
        <v/>
      </c>
      <c r="O13" s="42">
        <f>IF(Returns!O20=1,N13+Returns!O24*N13*(Returns!O22+$C12/10000)/4-IF(AND(Returns!O20=1,Returns!O24=0),MIN(N13,Returns!$C$6*Returns!$C$11/4),0),0)</f>
        <v/>
      </c>
      <c r="P13" s="42">
        <f>IF(Returns!P20=1,O13+Returns!P24*O13*(Returns!P22+$C12/10000)/4-IF(AND(Returns!P20=1,Returns!P24=0),MIN(O13,Returns!$C$6*Returns!$C$11/4),0),0)</f>
        <v/>
      </c>
      <c r="Q13" s="42">
        <f>IF(Returns!Q20=1,P13+Returns!Q24*P13*(Returns!Q22+$C12/10000)/4-IF(AND(Returns!Q20=1,Returns!Q24=0),MIN(P13,Returns!$C$6*Returns!$C$11/4),0),0)</f>
        <v/>
      </c>
      <c r="R13" s="42">
        <f>IF(Returns!R20=1,Q13+Returns!R24*Q13*(Returns!R22+$C12/10000)/4-IF(AND(Returns!R20=1,Returns!R24=0),MIN(Q13,Returns!$C$6*Returns!$C$11/4),0),0)</f>
        <v/>
      </c>
      <c r="S13" s="42">
        <f>IF(Returns!S20=1,R13+Returns!S24*R13*(Returns!S22+$C12/10000)/4-IF(AND(Returns!S20=1,Returns!S24=0),MIN(R13,Returns!$C$6*Returns!$C$11/4),0),0)</f>
        <v/>
      </c>
      <c r="T13" s="42">
        <f>IF(Returns!T20=1,S13+Returns!T24*S13*(Returns!T22+$C12/10000)/4-IF(AND(Returns!T20=1,Returns!T24=0),MIN(S13,Returns!$C$6*Returns!$C$11/4),0),0)</f>
        <v/>
      </c>
      <c r="U13" s="42">
        <f>IF(Returns!U20=1,T13+Returns!U24*T13*(Returns!U22+$C12/10000)/4-IF(AND(Returns!U20=1,Returns!U24=0),MIN(T13,Returns!$C$6*Returns!$C$11/4),0),0)</f>
        <v/>
      </c>
      <c r="V13" s="42">
        <f>IF(Returns!V20=1,U13+Returns!V24*U13*(Returns!V22+$C12/10000)/4-IF(AND(Returns!V20=1,Returns!V24=0),MIN(U13,Returns!$C$6*Returns!$C$11/4),0),0)</f>
        <v/>
      </c>
      <c r="W13" s="42">
        <f>IF(Returns!W20=1,V13+Returns!W24*V13*(Returns!W22+$C12/10000)/4-IF(AND(Returns!W20=1,Returns!W24=0),MIN(V13,Returns!$C$6*Returns!$C$11/4),0),0)</f>
        <v/>
      </c>
    </row>
    <row r="14" ht="15" customHeight="1" s="31">
      <c r="B14" s="35" t="inlineStr">
        <is>
          <t>Financing line ending balance (before exit payoff)</t>
        </is>
      </c>
      <c r="C14" s="42">
        <f>$F12</f>
        <v/>
      </c>
      <c r="D14" s="42">
        <f>IF(Returns!D20=1,C14-$F12*IF(AND(Returns!D20=1,Returns!D24=0),MIN(C13,Returns!$C$6*Returns!$C$11/4),0)/Returns!$C$6,0)</f>
        <v/>
      </c>
      <c r="E14" s="42">
        <f>IF(Returns!E20=1,D14-$F12*IF(AND(Returns!E20=1,Returns!E24=0),MIN(D13,Returns!$C$6*Returns!$C$11/4),0)/Returns!$C$6,0)</f>
        <v/>
      </c>
      <c r="F14" s="42">
        <f>IF(Returns!F20=1,E14-$F12*IF(AND(Returns!F20=1,Returns!F24=0),MIN(E13,Returns!$C$6*Returns!$C$11/4),0)/Returns!$C$6,0)</f>
        <v/>
      </c>
      <c r="G14" s="42">
        <f>IF(Returns!G20=1,F14-$F12*IF(AND(Returns!G20=1,Returns!G24=0),MIN(F13,Returns!$C$6*Returns!$C$11/4),0)/Returns!$C$6,0)</f>
        <v/>
      </c>
      <c r="H14" s="42">
        <f>IF(Returns!H20=1,G14-$F12*IF(AND(Returns!H20=1,Returns!H24=0),MIN(G13,Returns!$C$6*Returns!$C$11/4),0)/Returns!$C$6,0)</f>
        <v/>
      </c>
      <c r="I14" s="42">
        <f>IF(Returns!I20=1,H14-$F12*IF(AND(Returns!I20=1,Returns!I24=0),MIN(H13,Returns!$C$6*Returns!$C$11/4),0)/Returns!$C$6,0)</f>
        <v/>
      </c>
      <c r="J14" s="42">
        <f>IF(Returns!J20=1,I14-$F12*IF(AND(Returns!J20=1,Returns!J24=0),MIN(I13,Returns!$C$6*Returns!$C$11/4),0)/Returns!$C$6,0)</f>
        <v/>
      </c>
      <c r="K14" s="42">
        <f>IF(Returns!K20=1,J14-$F12*IF(AND(Returns!K20=1,Returns!K24=0),MIN(J13,Returns!$C$6*Returns!$C$11/4),0)/Returns!$C$6,0)</f>
        <v/>
      </c>
      <c r="L14" s="42">
        <f>IF(Returns!L20=1,K14-$F12*IF(AND(Returns!L20=1,Returns!L24=0),MIN(K13,Returns!$C$6*Returns!$C$11/4),0)/Returns!$C$6,0)</f>
        <v/>
      </c>
      <c r="M14" s="42">
        <f>IF(Returns!M20=1,L14-$F12*IF(AND(Returns!M20=1,Returns!M24=0),MIN(L13,Returns!$C$6*Returns!$C$11/4),0)/Returns!$C$6,0)</f>
        <v/>
      </c>
      <c r="N14" s="42">
        <f>IF(Returns!N20=1,M14-$F12*IF(AND(Returns!N20=1,Returns!N24=0),MIN(M13,Returns!$C$6*Returns!$C$11/4),0)/Returns!$C$6,0)</f>
        <v/>
      </c>
      <c r="O14" s="42">
        <f>IF(Returns!O20=1,N14-$F12*IF(AND(Returns!O20=1,Returns!O24=0),MIN(N13,Returns!$C$6*Returns!$C$11/4),0)/Returns!$C$6,0)</f>
        <v/>
      </c>
      <c r="P14" s="42">
        <f>IF(Returns!P20=1,O14-$F12*IF(AND(Returns!P20=1,Returns!P24=0),MIN(O13,Returns!$C$6*Returns!$C$11/4),0)/Returns!$C$6,0)</f>
        <v/>
      </c>
      <c r="Q14" s="42">
        <f>IF(Returns!Q20=1,P14-$F12*IF(AND(Returns!Q20=1,Returns!Q24=0),MIN(P13,Returns!$C$6*Returns!$C$11/4),0)/Returns!$C$6,0)</f>
        <v/>
      </c>
      <c r="R14" s="42">
        <f>IF(Returns!R20=1,Q14-$F12*IF(AND(Returns!R20=1,Returns!R24=0),MIN(Q13,Returns!$C$6*Returns!$C$11/4),0)/Returns!$C$6,0)</f>
        <v/>
      </c>
      <c r="S14" s="42">
        <f>IF(Returns!S20=1,R14-$F12*IF(AND(Returns!S20=1,Returns!S24=0),MIN(R13,Returns!$C$6*Returns!$C$11/4),0)/Returns!$C$6,0)</f>
        <v/>
      </c>
      <c r="T14" s="42">
        <f>IF(Returns!T20=1,S14-$F12*IF(AND(Returns!T20=1,Returns!T24=0),MIN(S13,Returns!$C$6*Returns!$C$11/4),0)/Returns!$C$6,0)</f>
        <v/>
      </c>
      <c r="U14" s="42">
        <f>IF(Returns!U20=1,T14-$F12*IF(AND(Returns!U20=1,Returns!U24=0),MIN(T13,Returns!$C$6*Returns!$C$11/4),0)/Returns!$C$6,0)</f>
        <v/>
      </c>
      <c r="V14" s="42">
        <f>IF(Returns!V20=1,U14-$F12*IF(AND(Returns!V20=1,Returns!V24=0),MIN(U13,Returns!$C$6*Returns!$C$11/4),0)/Returns!$C$6,0)</f>
        <v/>
      </c>
      <c r="W14" s="42">
        <f>IF(Returns!W20=1,V14-$F12*IF(AND(Returns!W20=1,Returns!W24=0),MIN(V13,Returns!$C$6*Returns!$C$11/4),0)/Returns!$C$6,0)</f>
        <v/>
      </c>
    </row>
    <row r="15" ht="15" customHeight="1" s="31">
      <c r="B15" s="35" t="inlineStr">
        <is>
          <t>Levered net cash flow</t>
        </is>
      </c>
      <c r="C15" s="42">
        <f>-Returns!$C$6*(1-Returns!$D$8)+$F12</f>
        <v/>
      </c>
      <c r="D15" s="42">
        <f>Returns!D20*(1-Returns!D24)*C13*(Returns!D22+$C12/10000)/4+IF(AND(Returns!D20=1,Returns!D24=0),MIN(C13,Returns!$C$6*Returns!$C$11/4),0)+Returns!D21*D13*Returns!$C$12/100-Returns!D20*C14*(Returns!D22+Returns!$I$8/10000)/4-$F12*IF(AND(Returns!D20=1,Returns!D24=0),MIN(C13,Returns!$C$6*Returns!$C$11/4),0)/Returns!$C$6-Returns!D21*D14</f>
        <v/>
      </c>
      <c r="E15" s="42">
        <f>Returns!E20*(1-Returns!E24)*D13*(Returns!E22+$C12/10000)/4+IF(AND(Returns!E20=1,Returns!E24=0),MIN(D13,Returns!$C$6*Returns!$C$11/4),0)+Returns!E21*E13*Returns!$C$12/100-Returns!E20*D14*(Returns!E22+Returns!$I$8/10000)/4-$F12*IF(AND(Returns!E20=1,Returns!E24=0),MIN(D13,Returns!$C$6*Returns!$C$11/4),0)/Returns!$C$6-Returns!E21*E14</f>
        <v/>
      </c>
      <c r="F15" s="42">
        <f>Returns!F20*(1-Returns!F24)*E13*(Returns!F22+$C12/10000)/4+IF(AND(Returns!F20=1,Returns!F24=0),MIN(E13,Returns!$C$6*Returns!$C$11/4),0)+Returns!F21*F13*Returns!$C$12/100-Returns!F20*E14*(Returns!F22+Returns!$I$8/10000)/4-$F12*IF(AND(Returns!F20=1,Returns!F24=0),MIN(E13,Returns!$C$6*Returns!$C$11/4),0)/Returns!$C$6-Returns!F21*F14</f>
        <v/>
      </c>
      <c r="G15" s="42">
        <f>Returns!G20*(1-Returns!G24)*F13*(Returns!G22+$C12/10000)/4+IF(AND(Returns!G20=1,Returns!G24=0),MIN(F13,Returns!$C$6*Returns!$C$11/4),0)+Returns!G21*G13*Returns!$C$12/100-Returns!G20*F14*(Returns!G22+Returns!$I$8/10000)/4-$F12*IF(AND(Returns!G20=1,Returns!G24=0),MIN(F13,Returns!$C$6*Returns!$C$11/4),0)/Returns!$C$6-Returns!G21*G14</f>
        <v/>
      </c>
      <c r="H15" s="42">
        <f>Returns!H20*(1-Returns!H24)*G13*(Returns!H22+$C12/10000)/4+IF(AND(Returns!H20=1,Returns!H24=0),MIN(G13,Returns!$C$6*Returns!$C$11/4),0)+Returns!H21*H13*Returns!$C$12/100-Returns!H20*G14*(Returns!H22+Returns!$I$8/10000)/4-$F12*IF(AND(Returns!H20=1,Returns!H24=0),MIN(G13,Returns!$C$6*Returns!$C$11/4),0)/Returns!$C$6-Returns!H21*H14</f>
        <v/>
      </c>
      <c r="I15" s="42">
        <f>Returns!I20*(1-Returns!I24)*H13*(Returns!I22+$C12/10000)/4+IF(AND(Returns!I20=1,Returns!I24=0),MIN(H13,Returns!$C$6*Returns!$C$11/4),0)+Returns!I21*I13*Returns!$C$12/100-Returns!I20*H14*(Returns!I22+Returns!$I$8/10000)/4-$F12*IF(AND(Returns!I20=1,Returns!I24=0),MIN(H13,Returns!$C$6*Returns!$C$11/4),0)/Returns!$C$6-Returns!I21*I14</f>
        <v/>
      </c>
      <c r="J15" s="42">
        <f>Returns!J20*(1-Returns!J24)*I13*(Returns!J22+$C12/10000)/4+IF(AND(Returns!J20=1,Returns!J24=0),MIN(I13,Returns!$C$6*Returns!$C$11/4),0)+Returns!J21*J13*Returns!$C$12/100-Returns!J20*I14*(Returns!J22+Returns!$I$8/10000)/4-$F12*IF(AND(Returns!J20=1,Returns!J24=0),MIN(I13,Returns!$C$6*Returns!$C$11/4),0)/Returns!$C$6-Returns!J21*J14</f>
        <v/>
      </c>
      <c r="K15" s="42">
        <f>Returns!K20*(1-Returns!K24)*J13*(Returns!K22+$C12/10000)/4+IF(AND(Returns!K20=1,Returns!K24=0),MIN(J13,Returns!$C$6*Returns!$C$11/4),0)+Returns!K21*K13*Returns!$C$12/100-Returns!K20*J14*(Returns!K22+Returns!$I$8/10000)/4-$F12*IF(AND(Returns!K20=1,Returns!K24=0),MIN(J13,Returns!$C$6*Returns!$C$11/4),0)/Returns!$C$6-Returns!K21*K14</f>
        <v/>
      </c>
      <c r="L15" s="42">
        <f>Returns!L20*(1-Returns!L24)*K13*(Returns!L22+$C12/10000)/4+IF(AND(Returns!L20=1,Returns!L24=0),MIN(K13,Returns!$C$6*Returns!$C$11/4),0)+Returns!L21*L13*Returns!$C$12/100-Returns!L20*K14*(Returns!L22+Returns!$I$8/10000)/4-$F12*IF(AND(Returns!L20=1,Returns!L24=0),MIN(K13,Returns!$C$6*Returns!$C$11/4),0)/Returns!$C$6-Returns!L21*L14</f>
        <v/>
      </c>
      <c r="M15" s="42">
        <f>Returns!M20*(1-Returns!M24)*L13*(Returns!M22+$C12/10000)/4+IF(AND(Returns!M20=1,Returns!M24=0),MIN(L13,Returns!$C$6*Returns!$C$11/4),0)+Returns!M21*M13*Returns!$C$12/100-Returns!M20*L14*(Returns!M22+Returns!$I$8/10000)/4-$F12*IF(AND(Returns!M20=1,Returns!M24=0),MIN(L13,Returns!$C$6*Returns!$C$11/4),0)/Returns!$C$6-Returns!M21*M14</f>
        <v/>
      </c>
      <c r="N15" s="42">
        <f>Returns!N20*(1-Returns!N24)*M13*(Returns!N22+$C12/10000)/4+IF(AND(Returns!N20=1,Returns!N24=0),MIN(M13,Returns!$C$6*Returns!$C$11/4),0)+Returns!N21*N13*Returns!$C$12/100-Returns!N20*M14*(Returns!N22+Returns!$I$8/10000)/4-$F12*IF(AND(Returns!N20=1,Returns!N24=0),MIN(M13,Returns!$C$6*Returns!$C$11/4),0)/Returns!$C$6-Returns!N21*N14</f>
        <v/>
      </c>
      <c r="O15" s="42">
        <f>Returns!O20*(1-Returns!O24)*N13*(Returns!O22+$C12/10000)/4+IF(AND(Returns!O20=1,Returns!O24=0),MIN(N13,Returns!$C$6*Returns!$C$11/4),0)+Returns!O21*O13*Returns!$C$12/100-Returns!O20*N14*(Returns!O22+Returns!$I$8/10000)/4-$F12*IF(AND(Returns!O20=1,Returns!O24=0),MIN(N13,Returns!$C$6*Returns!$C$11/4),0)/Returns!$C$6-Returns!O21*O14</f>
        <v/>
      </c>
      <c r="P15" s="42">
        <f>Returns!P20*(1-Returns!P24)*O13*(Returns!P22+$C12/10000)/4+IF(AND(Returns!P20=1,Returns!P24=0),MIN(O13,Returns!$C$6*Returns!$C$11/4),0)+Returns!P21*P13*Returns!$C$12/100-Returns!P20*O14*(Returns!P22+Returns!$I$8/10000)/4-$F12*IF(AND(Returns!P20=1,Returns!P24=0),MIN(O13,Returns!$C$6*Returns!$C$11/4),0)/Returns!$C$6-Returns!P21*P14</f>
        <v/>
      </c>
      <c r="Q15" s="42">
        <f>Returns!Q20*(1-Returns!Q24)*P13*(Returns!Q22+$C12/10000)/4+IF(AND(Returns!Q20=1,Returns!Q24=0),MIN(P13,Returns!$C$6*Returns!$C$11/4),0)+Returns!Q21*Q13*Returns!$C$12/100-Returns!Q20*P14*(Returns!Q22+Returns!$I$8/10000)/4-$F12*IF(AND(Returns!Q20=1,Returns!Q24=0),MIN(P13,Returns!$C$6*Returns!$C$11/4),0)/Returns!$C$6-Returns!Q21*Q14</f>
        <v/>
      </c>
      <c r="R15" s="42">
        <f>Returns!R20*(1-Returns!R24)*Q13*(Returns!R22+$C12/10000)/4+IF(AND(Returns!R20=1,Returns!R24=0),MIN(Q13,Returns!$C$6*Returns!$C$11/4),0)+Returns!R21*R13*Returns!$C$12/100-Returns!R20*Q14*(Returns!R22+Returns!$I$8/10000)/4-$F12*IF(AND(Returns!R20=1,Returns!R24=0),MIN(Q13,Returns!$C$6*Returns!$C$11/4),0)/Returns!$C$6-Returns!R21*R14</f>
        <v/>
      </c>
      <c r="S15" s="42">
        <f>Returns!S20*(1-Returns!S24)*R13*(Returns!S22+$C12/10000)/4+IF(AND(Returns!S20=1,Returns!S24=0),MIN(R13,Returns!$C$6*Returns!$C$11/4),0)+Returns!S21*S13*Returns!$C$12/100-Returns!S20*R14*(Returns!S22+Returns!$I$8/10000)/4-$F12*IF(AND(Returns!S20=1,Returns!S24=0),MIN(R13,Returns!$C$6*Returns!$C$11/4),0)/Returns!$C$6-Returns!S21*S14</f>
        <v/>
      </c>
      <c r="T15" s="42">
        <f>Returns!T20*(1-Returns!T24)*S13*(Returns!T22+$C12/10000)/4+IF(AND(Returns!T20=1,Returns!T24=0),MIN(S13,Returns!$C$6*Returns!$C$11/4),0)+Returns!T21*T13*Returns!$C$12/100-Returns!T20*S14*(Returns!T22+Returns!$I$8/10000)/4-$F12*IF(AND(Returns!T20=1,Returns!T24=0),MIN(S13,Returns!$C$6*Returns!$C$11/4),0)/Returns!$C$6-Returns!T21*T14</f>
        <v/>
      </c>
      <c r="U15" s="42">
        <f>Returns!U20*(1-Returns!U24)*T13*(Returns!U22+$C12/10000)/4+IF(AND(Returns!U20=1,Returns!U24=0),MIN(T13,Returns!$C$6*Returns!$C$11/4),0)+Returns!U21*U13*Returns!$C$12/100-Returns!U20*T14*(Returns!U22+Returns!$I$8/10000)/4-$F12*IF(AND(Returns!U20=1,Returns!U24=0),MIN(T13,Returns!$C$6*Returns!$C$11/4),0)/Returns!$C$6-Returns!U21*U14</f>
        <v/>
      </c>
      <c r="V15" s="42">
        <f>Returns!V20*(1-Returns!V24)*U13*(Returns!V22+$C12/10000)/4+IF(AND(Returns!V20=1,Returns!V24=0),MIN(U13,Returns!$C$6*Returns!$C$11/4),0)+Returns!V21*V13*Returns!$C$12/100-Returns!V20*U14*(Returns!V22+Returns!$I$8/10000)/4-$F12*IF(AND(Returns!V20=1,Returns!V24=0),MIN(U13,Returns!$C$6*Returns!$C$11/4),0)/Returns!$C$6-Returns!V21*V14</f>
        <v/>
      </c>
      <c r="W15" s="42">
        <f>Returns!W20*(1-Returns!W24)*V13*(Returns!W22+$C12/10000)/4+IF(AND(Returns!W20=1,Returns!W24=0),MIN(V13,Returns!$C$6*Returns!$C$11/4),0)+Returns!W21*W13*Returns!$C$12/100-Returns!W20*V14*(Returns!W22+Returns!$I$8/10000)/4-$F12*IF(AND(Returns!W20=1,Returns!W24=0),MIN(V13,Returns!$C$6*Returns!$C$11/4),0)/Returns!$C$6-Returns!W21*W14</f>
        <v/>
      </c>
    </row>
    <row r="17" ht="15" customHeight="1" s="31">
      <c r="B17" s="34" t="inlineStr">
        <is>
          <t>Spread offset -100 bps, leverage 1.25x — parameters (spread, leverage, advance rate, financing at close)</t>
        </is>
      </c>
      <c r="C17" s="45">
        <f>Returns!$C$7+(-100)</f>
        <v/>
      </c>
      <c r="D17" s="59" t="n">
        <v>1.25</v>
      </c>
      <c r="E17" s="60">
        <f>D17/(1+D17)</f>
        <v/>
      </c>
      <c r="F17" s="42">
        <f>Returns!$C$6*(1-Returns!$D$8)*E17</f>
        <v/>
      </c>
    </row>
    <row r="18" ht="15" customHeight="1" s="31">
      <c r="B18" s="35" t="inlineStr">
        <is>
          <t>Loan ending balance (before exit payoff)</t>
        </is>
      </c>
      <c r="C18" s="42">
        <f>Returns!$C$6</f>
        <v/>
      </c>
      <c r="D18" s="42">
        <f>IF(Returns!D20=1,C18+Returns!D24*C18*(Returns!D22+$C17/10000)/4-IF(AND(Returns!D20=1,Returns!D24=0),MIN(C18,Returns!$C$6*Returns!$C$11/4),0),0)</f>
        <v/>
      </c>
      <c r="E18" s="42">
        <f>IF(Returns!E20=1,D18+Returns!E24*D18*(Returns!E22+$C17/10000)/4-IF(AND(Returns!E20=1,Returns!E24=0),MIN(D18,Returns!$C$6*Returns!$C$11/4),0),0)</f>
        <v/>
      </c>
      <c r="F18" s="42">
        <f>IF(Returns!F20=1,E18+Returns!F24*E18*(Returns!F22+$C17/10000)/4-IF(AND(Returns!F20=1,Returns!F24=0),MIN(E18,Returns!$C$6*Returns!$C$11/4),0),0)</f>
        <v/>
      </c>
      <c r="G18" s="42">
        <f>IF(Returns!G20=1,F18+Returns!G24*F18*(Returns!G22+$C17/10000)/4-IF(AND(Returns!G20=1,Returns!G24=0),MIN(F18,Returns!$C$6*Returns!$C$11/4),0),0)</f>
        <v/>
      </c>
      <c r="H18" s="42">
        <f>IF(Returns!H20=1,G18+Returns!H24*G18*(Returns!H22+$C17/10000)/4-IF(AND(Returns!H20=1,Returns!H24=0),MIN(G18,Returns!$C$6*Returns!$C$11/4),0),0)</f>
        <v/>
      </c>
      <c r="I18" s="42">
        <f>IF(Returns!I20=1,H18+Returns!I24*H18*(Returns!I22+$C17/10000)/4-IF(AND(Returns!I20=1,Returns!I24=0),MIN(H18,Returns!$C$6*Returns!$C$11/4),0),0)</f>
        <v/>
      </c>
      <c r="J18" s="42">
        <f>IF(Returns!J20=1,I18+Returns!J24*I18*(Returns!J22+$C17/10000)/4-IF(AND(Returns!J20=1,Returns!J24=0),MIN(I18,Returns!$C$6*Returns!$C$11/4),0),0)</f>
        <v/>
      </c>
      <c r="K18" s="42">
        <f>IF(Returns!K20=1,J18+Returns!K24*J18*(Returns!K22+$C17/10000)/4-IF(AND(Returns!K20=1,Returns!K24=0),MIN(J18,Returns!$C$6*Returns!$C$11/4),0),0)</f>
        <v/>
      </c>
      <c r="L18" s="42">
        <f>IF(Returns!L20=1,K18+Returns!L24*K18*(Returns!L22+$C17/10000)/4-IF(AND(Returns!L20=1,Returns!L24=0),MIN(K18,Returns!$C$6*Returns!$C$11/4),0),0)</f>
        <v/>
      </c>
      <c r="M18" s="42">
        <f>IF(Returns!M20=1,L18+Returns!M24*L18*(Returns!M22+$C17/10000)/4-IF(AND(Returns!M20=1,Returns!M24=0),MIN(L18,Returns!$C$6*Returns!$C$11/4),0),0)</f>
        <v/>
      </c>
      <c r="N18" s="42">
        <f>IF(Returns!N20=1,M18+Returns!N24*M18*(Returns!N22+$C17/10000)/4-IF(AND(Returns!N20=1,Returns!N24=0),MIN(M18,Returns!$C$6*Returns!$C$11/4),0),0)</f>
        <v/>
      </c>
      <c r="O18" s="42">
        <f>IF(Returns!O20=1,N18+Returns!O24*N18*(Returns!O22+$C17/10000)/4-IF(AND(Returns!O20=1,Returns!O24=0),MIN(N18,Returns!$C$6*Returns!$C$11/4),0),0)</f>
        <v/>
      </c>
      <c r="P18" s="42">
        <f>IF(Returns!P20=1,O18+Returns!P24*O18*(Returns!P22+$C17/10000)/4-IF(AND(Returns!P20=1,Returns!P24=0),MIN(O18,Returns!$C$6*Returns!$C$11/4),0),0)</f>
        <v/>
      </c>
      <c r="Q18" s="42">
        <f>IF(Returns!Q20=1,P18+Returns!Q24*P18*(Returns!Q22+$C17/10000)/4-IF(AND(Returns!Q20=1,Returns!Q24=0),MIN(P18,Returns!$C$6*Returns!$C$11/4),0),0)</f>
        <v/>
      </c>
      <c r="R18" s="42">
        <f>IF(Returns!R20=1,Q18+Returns!R24*Q18*(Returns!R22+$C17/10000)/4-IF(AND(Returns!R20=1,Returns!R24=0),MIN(Q18,Returns!$C$6*Returns!$C$11/4),0),0)</f>
        <v/>
      </c>
      <c r="S18" s="42">
        <f>IF(Returns!S20=1,R18+Returns!S24*R18*(Returns!S22+$C17/10000)/4-IF(AND(Returns!S20=1,Returns!S24=0),MIN(R18,Returns!$C$6*Returns!$C$11/4),0),0)</f>
        <v/>
      </c>
      <c r="T18" s="42">
        <f>IF(Returns!T20=1,S18+Returns!T24*S18*(Returns!T22+$C17/10000)/4-IF(AND(Returns!T20=1,Returns!T24=0),MIN(S18,Returns!$C$6*Returns!$C$11/4),0),0)</f>
        <v/>
      </c>
      <c r="U18" s="42">
        <f>IF(Returns!U20=1,T18+Returns!U24*T18*(Returns!U22+$C17/10000)/4-IF(AND(Returns!U20=1,Returns!U24=0),MIN(T18,Returns!$C$6*Returns!$C$11/4),0),0)</f>
        <v/>
      </c>
      <c r="V18" s="42">
        <f>IF(Returns!V20=1,U18+Returns!V24*U18*(Returns!V22+$C17/10000)/4-IF(AND(Returns!V20=1,Returns!V24=0),MIN(U18,Returns!$C$6*Returns!$C$11/4),0),0)</f>
        <v/>
      </c>
      <c r="W18" s="42">
        <f>IF(Returns!W20=1,V18+Returns!W24*V18*(Returns!W22+$C17/10000)/4-IF(AND(Returns!W20=1,Returns!W24=0),MIN(V18,Returns!$C$6*Returns!$C$11/4),0),0)</f>
        <v/>
      </c>
    </row>
    <row r="19" ht="15" customHeight="1" s="31">
      <c r="B19" s="35" t="inlineStr">
        <is>
          <t>Financing line ending balance (before exit payoff)</t>
        </is>
      </c>
      <c r="C19" s="42">
        <f>$F17</f>
        <v/>
      </c>
      <c r="D19" s="42">
        <f>IF(Returns!D20=1,C19-$F17*IF(AND(Returns!D20=1,Returns!D24=0),MIN(C18,Returns!$C$6*Returns!$C$11/4),0)/Returns!$C$6,0)</f>
        <v/>
      </c>
      <c r="E19" s="42">
        <f>IF(Returns!E20=1,D19-$F17*IF(AND(Returns!E20=1,Returns!E24=0),MIN(D18,Returns!$C$6*Returns!$C$11/4),0)/Returns!$C$6,0)</f>
        <v/>
      </c>
      <c r="F19" s="42">
        <f>IF(Returns!F20=1,E19-$F17*IF(AND(Returns!F20=1,Returns!F24=0),MIN(E18,Returns!$C$6*Returns!$C$11/4),0)/Returns!$C$6,0)</f>
        <v/>
      </c>
      <c r="G19" s="42">
        <f>IF(Returns!G20=1,F19-$F17*IF(AND(Returns!G20=1,Returns!G24=0),MIN(F18,Returns!$C$6*Returns!$C$11/4),0)/Returns!$C$6,0)</f>
        <v/>
      </c>
      <c r="H19" s="42">
        <f>IF(Returns!H20=1,G19-$F17*IF(AND(Returns!H20=1,Returns!H24=0),MIN(G18,Returns!$C$6*Returns!$C$11/4),0)/Returns!$C$6,0)</f>
        <v/>
      </c>
      <c r="I19" s="42">
        <f>IF(Returns!I20=1,H19-$F17*IF(AND(Returns!I20=1,Returns!I24=0),MIN(H18,Returns!$C$6*Returns!$C$11/4),0)/Returns!$C$6,0)</f>
        <v/>
      </c>
      <c r="J19" s="42">
        <f>IF(Returns!J20=1,I19-$F17*IF(AND(Returns!J20=1,Returns!J24=0),MIN(I18,Returns!$C$6*Returns!$C$11/4),0)/Returns!$C$6,0)</f>
        <v/>
      </c>
      <c r="K19" s="42">
        <f>IF(Returns!K20=1,J19-$F17*IF(AND(Returns!K20=1,Returns!K24=0),MIN(J18,Returns!$C$6*Returns!$C$11/4),0)/Returns!$C$6,0)</f>
        <v/>
      </c>
      <c r="L19" s="42">
        <f>IF(Returns!L20=1,K19-$F17*IF(AND(Returns!L20=1,Returns!L24=0),MIN(K18,Returns!$C$6*Returns!$C$11/4),0)/Returns!$C$6,0)</f>
        <v/>
      </c>
      <c r="M19" s="42">
        <f>IF(Returns!M20=1,L19-$F17*IF(AND(Returns!M20=1,Returns!M24=0),MIN(L18,Returns!$C$6*Returns!$C$11/4),0)/Returns!$C$6,0)</f>
        <v/>
      </c>
      <c r="N19" s="42">
        <f>IF(Returns!N20=1,M19-$F17*IF(AND(Returns!N20=1,Returns!N24=0),MIN(M18,Returns!$C$6*Returns!$C$11/4),0)/Returns!$C$6,0)</f>
        <v/>
      </c>
      <c r="O19" s="42">
        <f>IF(Returns!O20=1,N19-$F17*IF(AND(Returns!O20=1,Returns!O24=0),MIN(N18,Returns!$C$6*Returns!$C$11/4),0)/Returns!$C$6,0)</f>
        <v/>
      </c>
      <c r="P19" s="42">
        <f>IF(Returns!P20=1,O19-$F17*IF(AND(Returns!P20=1,Returns!P24=0),MIN(O18,Returns!$C$6*Returns!$C$11/4),0)/Returns!$C$6,0)</f>
        <v/>
      </c>
      <c r="Q19" s="42">
        <f>IF(Returns!Q20=1,P19-$F17*IF(AND(Returns!Q20=1,Returns!Q24=0),MIN(P18,Returns!$C$6*Returns!$C$11/4),0)/Returns!$C$6,0)</f>
        <v/>
      </c>
      <c r="R19" s="42">
        <f>IF(Returns!R20=1,Q19-$F17*IF(AND(Returns!R20=1,Returns!R24=0),MIN(Q18,Returns!$C$6*Returns!$C$11/4),0)/Returns!$C$6,0)</f>
        <v/>
      </c>
      <c r="S19" s="42">
        <f>IF(Returns!S20=1,R19-$F17*IF(AND(Returns!S20=1,Returns!S24=0),MIN(R18,Returns!$C$6*Returns!$C$11/4),0)/Returns!$C$6,0)</f>
        <v/>
      </c>
      <c r="T19" s="42">
        <f>IF(Returns!T20=1,S19-$F17*IF(AND(Returns!T20=1,Returns!T24=0),MIN(S18,Returns!$C$6*Returns!$C$11/4),0)/Returns!$C$6,0)</f>
        <v/>
      </c>
      <c r="U19" s="42">
        <f>IF(Returns!U20=1,T19-$F17*IF(AND(Returns!U20=1,Returns!U24=0),MIN(T18,Returns!$C$6*Returns!$C$11/4),0)/Returns!$C$6,0)</f>
        <v/>
      </c>
      <c r="V19" s="42">
        <f>IF(Returns!V20=1,U19-$F17*IF(AND(Returns!V20=1,Returns!V24=0),MIN(U18,Returns!$C$6*Returns!$C$11/4),0)/Returns!$C$6,0)</f>
        <v/>
      </c>
      <c r="W19" s="42">
        <f>IF(Returns!W20=1,V19-$F17*IF(AND(Returns!W20=1,Returns!W24=0),MIN(V18,Returns!$C$6*Returns!$C$11/4),0)/Returns!$C$6,0)</f>
        <v/>
      </c>
    </row>
    <row r="20" ht="15" customHeight="1" s="31">
      <c r="B20" s="35" t="inlineStr">
        <is>
          <t>Levered net cash flow</t>
        </is>
      </c>
      <c r="C20" s="42">
        <f>-Returns!$C$6*(1-Returns!$D$8)+$F17</f>
        <v/>
      </c>
      <c r="D20" s="42">
        <f>Returns!D20*(1-Returns!D24)*C18*(Returns!D22+$C17/10000)/4+IF(AND(Returns!D20=1,Returns!D24=0),MIN(C18,Returns!$C$6*Returns!$C$11/4),0)+Returns!D21*D18*Returns!$C$12/100-Returns!D20*C19*(Returns!D22+Returns!$I$8/10000)/4-$F17*IF(AND(Returns!D20=1,Returns!D24=0),MIN(C18,Returns!$C$6*Returns!$C$11/4),0)/Returns!$C$6-Returns!D21*D19</f>
        <v/>
      </c>
      <c r="E20" s="42">
        <f>Returns!E20*(1-Returns!E24)*D18*(Returns!E22+$C17/10000)/4+IF(AND(Returns!E20=1,Returns!E24=0),MIN(D18,Returns!$C$6*Returns!$C$11/4),0)+Returns!E21*E18*Returns!$C$12/100-Returns!E20*D19*(Returns!E22+Returns!$I$8/10000)/4-$F17*IF(AND(Returns!E20=1,Returns!E24=0),MIN(D18,Returns!$C$6*Returns!$C$11/4),0)/Returns!$C$6-Returns!E21*E19</f>
        <v/>
      </c>
      <c r="F20" s="42">
        <f>Returns!F20*(1-Returns!F24)*E18*(Returns!F22+$C17/10000)/4+IF(AND(Returns!F20=1,Returns!F24=0),MIN(E18,Returns!$C$6*Returns!$C$11/4),0)+Returns!F21*F18*Returns!$C$12/100-Returns!F20*E19*(Returns!F22+Returns!$I$8/10000)/4-$F17*IF(AND(Returns!F20=1,Returns!F24=0),MIN(E18,Returns!$C$6*Returns!$C$11/4),0)/Returns!$C$6-Returns!F21*F19</f>
        <v/>
      </c>
      <c r="G20" s="42">
        <f>Returns!G20*(1-Returns!G24)*F18*(Returns!G22+$C17/10000)/4+IF(AND(Returns!G20=1,Returns!G24=0),MIN(F18,Returns!$C$6*Returns!$C$11/4),0)+Returns!G21*G18*Returns!$C$12/100-Returns!G20*F19*(Returns!G22+Returns!$I$8/10000)/4-$F17*IF(AND(Returns!G20=1,Returns!G24=0),MIN(F18,Returns!$C$6*Returns!$C$11/4),0)/Returns!$C$6-Returns!G21*G19</f>
        <v/>
      </c>
      <c r="H20" s="42">
        <f>Returns!H20*(1-Returns!H24)*G18*(Returns!H22+$C17/10000)/4+IF(AND(Returns!H20=1,Returns!H24=0),MIN(G18,Returns!$C$6*Returns!$C$11/4),0)+Returns!H21*H18*Returns!$C$12/100-Returns!H20*G19*(Returns!H22+Returns!$I$8/10000)/4-$F17*IF(AND(Returns!H20=1,Returns!H24=0),MIN(G18,Returns!$C$6*Returns!$C$11/4),0)/Returns!$C$6-Returns!H21*H19</f>
        <v/>
      </c>
      <c r="I20" s="42">
        <f>Returns!I20*(1-Returns!I24)*H18*(Returns!I22+$C17/10000)/4+IF(AND(Returns!I20=1,Returns!I24=0),MIN(H18,Returns!$C$6*Returns!$C$11/4),0)+Returns!I21*I18*Returns!$C$12/100-Returns!I20*H19*(Returns!I22+Returns!$I$8/10000)/4-$F17*IF(AND(Returns!I20=1,Returns!I24=0),MIN(H18,Returns!$C$6*Returns!$C$11/4),0)/Returns!$C$6-Returns!I21*I19</f>
        <v/>
      </c>
      <c r="J20" s="42">
        <f>Returns!J20*(1-Returns!J24)*I18*(Returns!J22+$C17/10000)/4+IF(AND(Returns!J20=1,Returns!J24=0),MIN(I18,Returns!$C$6*Returns!$C$11/4),0)+Returns!J21*J18*Returns!$C$12/100-Returns!J20*I19*(Returns!J22+Returns!$I$8/10000)/4-$F17*IF(AND(Returns!J20=1,Returns!J24=0),MIN(I18,Returns!$C$6*Returns!$C$11/4),0)/Returns!$C$6-Returns!J21*J19</f>
        <v/>
      </c>
      <c r="K20" s="42">
        <f>Returns!K20*(1-Returns!K24)*J18*(Returns!K22+$C17/10000)/4+IF(AND(Returns!K20=1,Returns!K24=0),MIN(J18,Returns!$C$6*Returns!$C$11/4),0)+Returns!K21*K18*Returns!$C$12/100-Returns!K20*J19*(Returns!K22+Returns!$I$8/10000)/4-$F17*IF(AND(Returns!K20=1,Returns!K24=0),MIN(J18,Returns!$C$6*Returns!$C$11/4),0)/Returns!$C$6-Returns!K21*K19</f>
        <v/>
      </c>
      <c r="L20" s="42">
        <f>Returns!L20*(1-Returns!L24)*K18*(Returns!L22+$C17/10000)/4+IF(AND(Returns!L20=1,Returns!L24=0),MIN(K18,Returns!$C$6*Returns!$C$11/4),0)+Returns!L21*L18*Returns!$C$12/100-Returns!L20*K19*(Returns!L22+Returns!$I$8/10000)/4-$F17*IF(AND(Returns!L20=1,Returns!L24=0),MIN(K18,Returns!$C$6*Returns!$C$11/4),0)/Returns!$C$6-Returns!L21*L19</f>
        <v/>
      </c>
      <c r="M20" s="42">
        <f>Returns!M20*(1-Returns!M24)*L18*(Returns!M22+$C17/10000)/4+IF(AND(Returns!M20=1,Returns!M24=0),MIN(L18,Returns!$C$6*Returns!$C$11/4),0)+Returns!M21*M18*Returns!$C$12/100-Returns!M20*L19*(Returns!M22+Returns!$I$8/10000)/4-$F17*IF(AND(Returns!M20=1,Returns!M24=0),MIN(L18,Returns!$C$6*Returns!$C$11/4),0)/Returns!$C$6-Returns!M21*M19</f>
        <v/>
      </c>
      <c r="N20" s="42">
        <f>Returns!N20*(1-Returns!N24)*M18*(Returns!N22+$C17/10000)/4+IF(AND(Returns!N20=1,Returns!N24=0),MIN(M18,Returns!$C$6*Returns!$C$11/4),0)+Returns!N21*N18*Returns!$C$12/100-Returns!N20*M19*(Returns!N22+Returns!$I$8/10000)/4-$F17*IF(AND(Returns!N20=1,Returns!N24=0),MIN(M18,Returns!$C$6*Returns!$C$11/4),0)/Returns!$C$6-Returns!N21*N19</f>
        <v/>
      </c>
      <c r="O20" s="42">
        <f>Returns!O20*(1-Returns!O24)*N18*(Returns!O22+$C17/10000)/4+IF(AND(Returns!O20=1,Returns!O24=0),MIN(N18,Returns!$C$6*Returns!$C$11/4),0)+Returns!O21*O18*Returns!$C$12/100-Returns!O20*N19*(Returns!O22+Returns!$I$8/10000)/4-$F17*IF(AND(Returns!O20=1,Returns!O24=0),MIN(N18,Returns!$C$6*Returns!$C$11/4),0)/Returns!$C$6-Returns!O21*O19</f>
        <v/>
      </c>
      <c r="P20" s="42">
        <f>Returns!P20*(1-Returns!P24)*O18*(Returns!P22+$C17/10000)/4+IF(AND(Returns!P20=1,Returns!P24=0),MIN(O18,Returns!$C$6*Returns!$C$11/4),0)+Returns!P21*P18*Returns!$C$12/100-Returns!P20*O19*(Returns!P22+Returns!$I$8/10000)/4-$F17*IF(AND(Returns!P20=1,Returns!P24=0),MIN(O18,Returns!$C$6*Returns!$C$11/4),0)/Returns!$C$6-Returns!P21*P19</f>
        <v/>
      </c>
      <c r="Q20" s="42">
        <f>Returns!Q20*(1-Returns!Q24)*P18*(Returns!Q22+$C17/10000)/4+IF(AND(Returns!Q20=1,Returns!Q24=0),MIN(P18,Returns!$C$6*Returns!$C$11/4),0)+Returns!Q21*Q18*Returns!$C$12/100-Returns!Q20*P19*(Returns!Q22+Returns!$I$8/10000)/4-$F17*IF(AND(Returns!Q20=1,Returns!Q24=0),MIN(P18,Returns!$C$6*Returns!$C$11/4),0)/Returns!$C$6-Returns!Q21*Q19</f>
        <v/>
      </c>
      <c r="R20" s="42">
        <f>Returns!R20*(1-Returns!R24)*Q18*(Returns!R22+$C17/10000)/4+IF(AND(Returns!R20=1,Returns!R24=0),MIN(Q18,Returns!$C$6*Returns!$C$11/4),0)+Returns!R21*R18*Returns!$C$12/100-Returns!R20*Q19*(Returns!R22+Returns!$I$8/10000)/4-$F17*IF(AND(Returns!R20=1,Returns!R24=0),MIN(Q18,Returns!$C$6*Returns!$C$11/4),0)/Returns!$C$6-Returns!R21*R19</f>
        <v/>
      </c>
      <c r="S20" s="42">
        <f>Returns!S20*(1-Returns!S24)*R18*(Returns!S22+$C17/10000)/4+IF(AND(Returns!S20=1,Returns!S24=0),MIN(R18,Returns!$C$6*Returns!$C$11/4),0)+Returns!S21*S18*Returns!$C$12/100-Returns!S20*R19*(Returns!S22+Returns!$I$8/10000)/4-$F17*IF(AND(Returns!S20=1,Returns!S24=0),MIN(R18,Returns!$C$6*Returns!$C$11/4),0)/Returns!$C$6-Returns!S21*S19</f>
        <v/>
      </c>
      <c r="T20" s="42">
        <f>Returns!T20*(1-Returns!T24)*S18*(Returns!T22+$C17/10000)/4+IF(AND(Returns!T20=1,Returns!T24=0),MIN(S18,Returns!$C$6*Returns!$C$11/4),0)+Returns!T21*T18*Returns!$C$12/100-Returns!T20*S19*(Returns!T22+Returns!$I$8/10000)/4-$F17*IF(AND(Returns!T20=1,Returns!T24=0),MIN(S18,Returns!$C$6*Returns!$C$11/4),0)/Returns!$C$6-Returns!T21*T19</f>
        <v/>
      </c>
      <c r="U20" s="42">
        <f>Returns!U20*(1-Returns!U24)*T18*(Returns!U22+$C17/10000)/4+IF(AND(Returns!U20=1,Returns!U24=0),MIN(T18,Returns!$C$6*Returns!$C$11/4),0)+Returns!U21*U18*Returns!$C$12/100-Returns!U20*T19*(Returns!U22+Returns!$I$8/10000)/4-$F17*IF(AND(Returns!U20=1,Returns!U24=0),MIN(T18,Returns!$C$6*Returns!$C$11/4),0)/Returns!$C$6-Returns!U21*U19</f>
        <v/>
      </c>
      <c r="V20" s="42">
        <f>Returns!V20*(1-Returns!V24)*U18*(Returns!V22+$C17/10000)/4+IF(AND(Returns!V20=1,Returns!V24=0),MIN(U18,Returns!$C$6*Returns!$C$11/4),0)+Returns!V21*V18*Returns!$C$12/100-Returns!V20*U19*(Returns!V22+Returns!$I$8/10000)/4-$F17*IF(AND(Returns!V20=1,Returns!V24=0),MIN(U18,Returns!$C$6*Returns!$C$11/4),0)/Returns!$C$6-Returns!V21*V19</f>
        <v/>
      </c>
      <c r="W20" s="42">
        <f>Returns!W20*(1-Returns!W24)*V18*(Returns!W22+$C17/10000)/4+IF(AND(Returns!W20=1,Returns!W24=0),MIN(V18,Returns!$C$6*Returns!$C$11/4),0)+Returns!W21*W18*Returns!$C$12/100-Returns!W20*V19*(Returns!W22+Returns!$I$8/10000)/4-$F17*IF(AND(Returns!W20=1,Returns!W24=0),MIN(V18,Returns!$C$6*Returns!$C$11/4),0)/Returns!$C$6-Returns!W21*W19</f>
        <v/>
      </c>
    </row>
    <row r="22" ht="15" customHeight="1" s="31">
      <c r="B22" s="34" t="inlineStr">
        <is>
          <t>Spread offset -50 bps, leverage 0.75x — parameters (spread, leverage, advance rate, financing at close)</t>
        </is>
      </c>
      <c r="C22" s="45">
        <f>Returns!$C$7+(-50)</f>
        <v/>
      </c>
      <c r="D22" s="59" t="n">
        <v>0.75</v>
      </c>
      <c r="E22" s="60">
        <f>D22/(1+D22)</f>
        <v/>
      </c>
      <c r="F22" s="42">
        <f>Returns!$C$6*(1-Returns!$D$8)*E22</f>
        <v/>
      </c>
    </row>
    <row r="23" ht="15" customHeight="1" s="31">
      <c r="B23" s="35" t="inlineStr">
        <is>
          <t>Loan ending balance (before exit payoff)</t>
        </is>
      </c>
      <c r="C23" s="42">
        <f>Returns!$C$6</f>
        <v/>
      </c>
      <c r="D23" s="42">
        <f>IF(Returns!D20=1,C23+Returns!D24*C23*(Returns!D22+$C22/10000)/4-IF(AND(Returns!D20=1,Returns!D24=0),MIN(C23,Returns!$C$6*Returns!$C$11/4),0),0)</f>
        <v/>
      </c>
      <c r="E23" s="42">
        <f>IF(Returns!E20=1,D23+Returns!E24*D23*(Returns!E22+$C22/10000)/4-IF(AND(Returns!E20=1,Returns!E24=0),MIN(D23,Returns!$C$6*Returns!$C$11/4),0),0)</f>
        <v/>
      </c>
      <c r="F23" s="42">
        <f>IF(Returns!F20=1,E23+Returns!F24*E23*(Returns!F22+$C22/10000)/4-IF(AND(Returns!F20=1,Returns!F24=0),MIN(E23,Returns!$C$6*Returns!$C$11/4),0),0)</f>
        <v/>
      </c>
      <c r="G23" s="42">
        <f>IF(Returns!G20=1,F23+Returns!G24*F23*(Returns!G22+$C22/10000)/4-IF(AND(Returns!G20=1,Returns!G24=0),MIN(F23,Returns!$C$6*Returns!$C$11/4),0),0)</f>
        <v/>
      </c>
      <c r="H23" s="42">
        <f>IF(Returns!H20=1,G23+Returns!H24*G23*(Returns!H22+$C22/10000)/4-IF(AND(Returns!H20=1,Returns!H24=0),MIN(G23,Returns!$C$6*Returns!$C$11/4),0),0)</f>
        <v/>
      </c>
      <c r="I23" s="42">
        <f>IF(Returns!I20=1,H23+Returns!I24*H23*(Returns!I22+$C22/10000)/4-IF(AND(Returns!I20=1,Returns!I24=0),MIN(H23,Returns!$C$6*Returns!$C$11/4),0),0)</f>
        <v/>
      </c>
      <c r="J23" s="42">
        <f>IF(Returns!J20=1,I23+Returns!J24*I23*(Returns!J22+$C22/10000)/4-IF(AND(Returns!J20=1,Returns!J24=0),MIN(I23,Returns!$C$6*Returns!$C$11/4),0),0)</f>
        <v/>
      </c>
      <c r="K23" s="42">
        <f>IF(Returns!K20=1,J23+Returns!K24*J23*(Returns!K22+$C22/10000)/4-IF(AND(Returns!K20=1,Returns!K24=0),MIN(J23,Returns!$C$6*Returns!$C$11/4),0),0)</f>
        <v/>
      </c>
      <c r="L23" s="42">
        <f>IF(Returns!L20=1,K23+Returns!L24*K23*(Returns!L22+$C22/10000)/4-IF(AND(Returns!L20=1,Returns!L24=0),MIN(K23,Returns!$C$6*Returns!$C$11/4),0),0)</f>
        <v/>
      </c>
      <c r="M23" s="42">
        <f>IF(Returns!M20=1,L23+Returns!M24*L23*(Returns!M22+$C22/10000)/4-IF(AND(Returns!M20=1,Returns!M24=0),MIN(L23,Returns!$C$6*Returns!$C$11/4),0),0)</f>
        <v/>
      </c>
      <c r="N23" s="42">
        <f>IF(Returns!N20=1,M23+Returns!N24*M23*(Returns!N22+$C22/10000)/4-IF(AND(Returns!N20=1,Returns!N24=0),MIN(M23,Returns!$C$6*Returns!$C$11/4),0),0)</f>
        <v/>
      </c>
      <c r="O23" s="42">
        <f>IF(Returns!O20=1,N23+Returns!O24*N23*(Returns!O22+$C22/10000)/4-IF(AND(Returns!O20=1,Returns!O24=0),MIN(N23,Returns!$C$6*Returns!$C$11/4),0),0)</f>
        <v/>
      </c>
      <c r="P23" s="42">
        <f>IF(Returns!P20=1,O23+Returns!P24*O23*(Returns!P22+$C22/10000)/4-IF(AND(Returns!P20=1,Returns!P24=0),MIN(O23,Returns!$C$6*Returns!$C$11/4),0),0)</f>
        <v/>
      </c>
      <c r="Q23" s="42">
        <f>IF(Returns!Q20=1,P23+Returns!Q24*P23*(Returns!Q22+$C22/10000)/4-IF(AND(Returns!Q20=1,Returns!Q24=0),MIN(P23,Returns!$C$6*Returns!$C$11/4),0),0)</f>
        <v/>
      </c>
      <c r="R23" s="42">
        <f>IF(Returns!R20=1,Q23+Returns!R24*Q23*(Returns!R22+$C22/10000)/4-IF(AND(Returns!R20=1,Returns!R24=0),MIN(Q23,Returns!$C$6*Returns!$C$11/4),0),0)</f>
        <v/>
      </c>
      <c r="S23" s="42">
        <f>IF(Returns!S20=1,R23+Returns!S24*R23*(Returns!S22+$C22/10000)/4-IF(AND(Returns!S20=1,Returns!S24=0),MIN(R23,Returns!$C$6*Returns!$C$11/4),0),0)</f>
        <v/>
      </c>
      <c r="T23" s="42">
        <f>IF(Returns!T20=1,S23+Returns!T24*S23*(Returns!T22+$C22/10000)/4-IF(AND(Returns!T20=1,Returns!T24=0),MIN(S23,Returns!$C$6*Returns!$C$11/4),0),0)</f>
        <v/>
      </c>
      <c r="U23" s="42">
        <f>IF(Returns!U20=1,T23+Returns!U24*T23*(Returns!U22+$C22/10000)/4-IF(AND(Returns!U20=1,Returns!U24=0),MIN(T23,Returns!$C$6*Returns!$C$11/4),0),0)</f>
        <v/>
      </c>
      <c r="V23" s="42">
        <f>IF(Returns!V20=1,U23+Returns!V24*U23*(Returns!V22+$C22/10000)/4-IF(AND(Returns!V20=1,Returns!V24=0),MIN(U23,Returns!$C$6*Returns!$C$11/4),0),0)</f>
        <v/>
      </c>
      <c r="W23" s="42">
        <f>IF(Returns!W20=1,V23+Returns!W24*V23*(Returns!W22+$C22/10000)/4-IF(AND(Returns!W20=1,Returns!W24=0),MIN(V23,Returns!$C$6*Returns!$C$11/4),0),0)</f>
        <v/>
      </c>
    </row>
    <row r="24" ht="15" customHeight="1" s="31">
      <c r="B24" s="35" t="inlineStr">
        <is>
          <t>Financing line ending balance (before exit payoff)</t>
        </is>
      </c>
      <c r="C24" s="42">
        <f>$F22</f>
        <v/>
      </c>
      <c r="D24" s="42">
        <f>IF(Returns!D20=1,C24-$F22*IF(AND(Returns!D20=1,Returns!D24=0),MIN(C23,Returns!$C$6*Returns!$C$11/4),0)/Returns!$C$6,0)</f>
        <v/>
      </c>
      <c r="E24" s="42">
        <f>IF(Returns!E20=1,D24-$F22*IF(AND(Returns!E20=1,Returns!E24=0),MIN(D23,Returns!$C$6*Returns!$C$11/4),0)/Returns!$C$6,0)</f>
        <v/>
      </c>
      <c r="F24" s="42">
        <f>IF(Returns!F20=1,E24-$F22*IF(AND(Returns!F20=1,Returns!F24=0),MIN(E23,Returns!$C$6*Returns!$C$11/4),0)/Returns!$C$6,0)</f>
        <v/>
      </c>
      <c r="G24" s="42">
        <f>IF(Returns!G20=1,F24-$F22*IF(AND(Returns!G20=1,Returns!G24=0),MIN(F23,Returns!$C$6*Returns!$C$11/4),0)/Returns!$C$6,0)</f>
        <v/>
      </c>
      <c r="H24" s="42">
        <f>IF(Returns!H20=1,G24-$F22*IF(AND(Returns!H20=1,Returns!H24=0),MIN(G23,Returns!$C$6*Returns!$C$11/4),0)/Returns!$C$6,0)</f>
        <v/>
      </c>
      <c r="I24" s="42">
        <f>IF(Returns!I20=1,H24-$F22*IF(AND(Returns!I20=1,Returns!I24=0),MIN(H23,Returns!$C$6*Returns!$C$11/4),0)/Returns!$C$6,0)</f>
        <v/>
      </c>
      <c r="J24" s="42">
        <f>IF(Returns!J20=1,I24-$F22*IF(AND(Returns!J20=1,Returns!J24=0),MIN(I23,Returns!$C$6*Returns!$C$11/4),0)/Returns!$C$6,0)</f>
        <v/>
      </c>
      <c r="K24" s="42">
        <f>IF(Returns!K20=1,J24-$F22*IF(AND(Returns!K20=1,Returns!K24=0),MIN(J23,Returns!$C$6*Returns!$C$11/4),0)/Returns!$C$6,0)</f>
        <v/>
      </c>
      <c r="L24" s="42">
        <f>IF(Returns!L20=1,K24-$F22*IF(AND(Returns!L20=1,Returns!L24=0),MIN(K23,Returns!$C$6*Returns!$C$11/4),0)/Returns!$C$6,0)</f>
        <v/>
      </c>
      <c r="M24" s="42">
        <f>IF(Returns!M20=1,L24-$F22*IF(AND(Returns!M20=1,Returns!M24=0),MIN(L23,Returns!$C$6*Returns!$C$11/4),0)/Returns!$C$6,0)</f>
        <v/>
      </c>
      <c r="N24" s="42">
        <f>IF(Returns!N20=1,M24-$F22*IF(AND(Returns!N20=1,Returns!N24=0),MIN(M23,Returns!$C$6*Returns!$C$11/4),0)/Returns!$C$6,0)</f>
        <v/>
      </c>
      <c r="O24" s="42">
        <f>IF(Returns!O20=1,N24-$F22*IF(AND(Returns!O20=1,Returns!O24=0),MIN(N23,Returns!$C$6*Returns!$C$11/4),0)/Returns!$C$6,0)</f>
        <v/>
      </c>
      <c r="P24" s="42">
        <f>IF(Returns!P20=1,O24-$F22*IF(AND(Returns!P20=1,Returns!P24=0),MIN(O23,Returns!$C$6*Returns!$C$11/4),0)/Returns!$C$6,0)</f>
        <v/>
      </c>
      <c r="Q24" s="42">
        <f>IF(Returns!Q20=1,P24-$F22*IF(AND(Returns!Q20=1,Returns!Q24=0),MIN(P23,Returns!$C$6*Returns!$C$11/4),0)/Returns!$C$6,0)</f>
        <v/>
      </c>
      <c r="R24" s="42">
        <f>IF(Returns!R20=1,Q24-$F22*IF(AND(Returns!R20=1,Returns!R24=0),MIN(Q23,Returns!$C$6*Returns!$C$11/4),0)/Returns!$C$6,0)</f>
        <v/>
      </c>
      <c r="S24" s="42">
        <f>IF(Returns!S20=1,R24-$F22*IF(AND(Returns!S20=1,Returns!S24=0),MIN(R23,Returns!$C$6*Returns!$C$11/4),0)/Returns!$C$6,0)</f>
        <v/>
      </c>
      <c r="T24" s="42">
        <f>IF(Returns!T20=1,S24-$F22*IF(AND(Returns!T20=1,Returns!T24=0),MIN(S23,Returns!$C$6*Returns!$C$11/4),0)/Returns!$C$6,0)</f>
        <v/>
      </c>
      <c r="U24" s="42">
        <f>IF(Returns!U20=1,T24-$F22*IF(AND(Returns!U20=1,Returns!U24=0),MIN(T23,Returns!$C$6*Returns!$C$11/4),0)/Returns!$C$6,0)</f>
        <v/>
      </c>
      <c r="V24" s="42">
        <f>IF(Returns!V20=1,U24-$F22*IF(AND(Returns!V20=1,Returns!V24=0),MIN(U23,Returns!$C$6*Returns!$C$11/4),0)/Returns!$C$6,0)</f>
        <v/>
      </c>
      <c r="W24" s="42">
        <f>IF(Returns!W20=1,V24-$F22*IF(AND(Returns!W20=1,Returns!W24=0),MIN(V23,Returns!$C$6*Returns!$C$11/4),0)/Returns!$C$6,0)</f>
        <v/>
      </c>
    </row>
    <row r="25" ht="15" customHeight="1" s="31">
      <c r="B25" s="35" t="inlineStr">
        <is>
          <t>Levered net cash flow</t>
        </is>
      </c>
      <c r="C25" s="42">
        <f>-Returns!$C$6*(1-Returns!$D$8)+$F22</f>
        <v/>
      </c>
      <c r="D25" s="42">
        <f>Returns!D20*(1-Returns!D24)*C23*(Returns!D22+$C22/10000)/4+IF(AND(Returns!D20=1,Returns!D24=0),MIN(C23,Returns!$C$6*Returns!$C$11/4),0)+Returns!D21*D23*Returns!$C$12/100-Returns!D20*C24*(Returns!D22+Returns!$I$8/10000)/4-$F22*IF(AND(Returns!D20=1,Returns!D24=0),MIN(C23,Returns!$C$6*Returns!$C$11/4),0)/Returns!$C$6-Returns!D21*D24</f>
        <v/>
      </c>
      <c r="E25" s="42">
        <f>Returns!E20*(1-Returns!E24)*D23*(Returns!E22+$C22/10000)/4+IF(AND(Returns!E20=1,Returns!E24=0),MIN(D23,Returns!$C$6*Returns!$C$11/4),0)+Returns!E21*E23*Returns!$C$12/100-Returns!E20*D24*(Returns!E22+Returns!$I$8/10000)/4-$F22*IF(AND(Returns!E20=1,Returns!E24=0),MIN(D23,Returns!$C$6*Returns!$C$11/4),0)/Returns!$C$6-Returns!E21*E24</f>
        <v/>
      </c>
      <c r="F25" s="42">
        <f>Returns!F20*(1-Returns!F24)*E23*(Returns!F22+$C22/10000)/4+IF(AND(Returns!F20=1,Returns!F24=0),MIN(E23,Returns!$C$6*Returns!$C$11/4),0)+Returns!F21*F23*Returns!$C$12/100-Returns!F20*E24*(Returns!F22+Returns!$I$8/10000)/4-$F22*IF(AND(Returns!F20=1,Returns!F24=0),MIN(E23,Returns!$C$6*Returns!$C$11/4),0)/Returns!$C$6-Returns!F21*F24</f>
        <v/>
      </c>
      <c r="G25" s="42">
        <f>Returns!G20*(1-Returns!G24)*F23*(Returns!G22+$C22/10000)/4+IF(AND(Returns!G20=1,Returns!G24=0),MIN(F23,Returns!$C$6*Returns!$C$11/4),0)+Returns!G21*G23*Returns!$C$12/100-Returns!G20*F24*(Returns!G22+Returns!$I$8/10000)/4-$F22*IF(AND(Returns!G20=1,Returns!G24=0),MIN(F23,Returns!$C$6*Returns!$C$11/4),0)/Returns!$C$6-Returns!G21*G24</f>
        <v/>
      </c>
      <c r="H25" s="42">
        <f>Returns!H20*(1-Returns!H24)*G23*(Returns!H22+$C22/10000)/4+IF(AND(Returns!H20=1,Returns!H24=0),MIN(G23,Returns!$C$6*Returns!$C$11/4),0)+Returns!H21*H23*Returns!$C$12/100-Returns!H20*G24*(Returns!H22+Returns!$I$8/10000)/4-$F22*IF(AND(Returns!H20=1,Returns!H24=0),MIN(G23,Returns!$C$6*Returns!$C$11/4),0)/Returns!$C$6-Returns!H21*H24</f>
        <v/>
      </c>
      <c r="I25" s="42">
        <f>Returns!I20*(1-Returns!I24)*H23*(Returns!I22+$C22/10000)/4+IF(AND(Returns!I20=1,Returns!I24=0),MIN(H23,Returns!$C$6*Returns!$C$11/4),0)+Returns!I21*I23*Returns!$C$12/100-Returns!I20*H24*(Returns!I22+Returns!$I$8/10000)/4-$F22*IF(AND(Returns!I20=1,Returns!I24=0),MIN(H23,Returns!$C$6*Returns!$C$11/4),0)/Returns!$C$6-Returns!I21*I24</f>
        <v/>
      </c>
      <c r="J25" s="42">
        <f>Returns!J20*(1-Returns!J24)*I23*(Returns!J22+$C22/10000)/4+IF(AND(Returns!J20=1,Returns!J24=0),MIN(I23,Returns!$C$6*Returns!$C$11/4),0)+Returns!J21*J23*Returns!$C$12/100-Returns!J20*I24*(Returns!J22+Returns!$I$8/10000)/4-$F22*IF(AND(Returns!J20=1,Returns!J24=0),MIN(I23,Returns!$C$6*Returns!$C$11/4),0)/Returns!$C$6-Returns!J21*J24</f>
        <v/>
      </c>
      <c r="K25" s="42">
        <f>Returns!K20*(1-Returns!K24)*J23*(Returns!K22+$C22/10000)/4+IF(AND(Returns!K20=1,Returns!K24=0),MIN(J23,Returns!$C$6*Returns!$C$11/4),0)+Returns!K21*K23*Returns!$C$12/100-Returns!K20*J24*(Returns!K22+Returns!$I$8/10000)/4-$F22*IF(AND(Returns!K20=1,Returns!K24=0),MIN(J23,Returns!$C$6*Returns!$C$11/4),0)/Returns!$C$6-Returns!K21*K24</f>
        <v/>
      </c>
      <c r="L25" s="42">
        <f>Returns!L20*(1-Returns!L24)*K23*(Returns!L22+$C22/10000)/4+IF(AND(Returns!L20=1,Returns!L24=0),MIN(K23,Returns!$C$6*Returns!$C$11/4),0)+Returns!L21*L23*Returns!$C$12/100-Returns!L20*K24*(Returns!L22+Returns!$I$8/10000)/4-$F22*IF(AND(Returns!L20=1,Returns!L24=0),MIN(K23,Returns!$C$6*Returns!$C$11/4),0)/Returns!$C$6-Returns!L21*L24</f>
        <v/>
      </c>
      <c r="M25" s="42">
        <f>Returns!M20*(1-Returns!M24)*L23*(Returns!M22+$C22/10000)/4+IF(AND(Returns!M20=1,Returns!M24=0),MIN(L23,Returns!$C$6*Returns!$C$11/4),0)+Returns!M21*M23*Returns!$C$12/100-Returns!M20*L24*(Returns!M22+Returns!$I$8/10000)/4-$F22*IF(AND(Returns!M20=1,Returns!M24=0),MIN(L23,Returns!$C$6*Returns!$C$11/4),0)/Returns!$C$6-Returns!M21*M24</f>
        <v/>
      </c>
      <c r="N25" s="42">
        <f>Returns!N20*(1-Returns!N24)*M23*(Returns!N22+$C22/10000)/4+IF(AND(Returns!N20=1,Returns!N24=0),MIN(M23,Returns!$C$6*Returns!$C$11/4),0)+Returns!N21*N23*Returns!$C$12/100-Returns!N20*M24*(Returns!N22+Returns!$I$8/10000)/4-$F22*IF(AND(Returns!N20=1,Returns!N24=0),MIN(M23,Returns!$C$6*Returns!$C$11/4),0)/Returns!$C$6-Returns!N21*N24</f>
        <v/>
      </c>
      <c r="O25" s="42">
        <f>Returns!O20*(1-Returns!O24)*N23*(Returns!O22+$C22/10000)/4+IF(AND(Returns!O20=1,Returns!O24=0),MIN(N23,Returns!$C$6*Returns!$C$11/4),0)+Returns!O21*O23*Returns!$C$12/100-Returns!O20*N24*(Returns!O22+Returns!$I$8/10000)/4-$F22*IF(AND(Returns!O20=1,Returns!O24=0),MIN(N23,Returns!$C$6*Returns!$C$11/4),0)/Returns!$C$6-Returns!O21*O24</f>
        <v/>
      </c>
      <c r="P25" s="42">
        <f>Returns!P20*(1-Returns!P24)*O23*(Returns!P22+$C22/10000)/4+IF(AND(Returns!P20=1,Returns!P24=0),MIN(O23,Returns!$C$6*Returns!$C$11/4),0)+Returns!P21*P23*Returns!$C$12/100-Returns!P20*O24*(Returns!P22+Returns!$I$8/10000)/4-$F22*IF(AND(Returns!P20=1,Returns!P24=0),MIN(O23,Returns!$C$6*Returns!$C$11/4),0)/Returns!$C$6-Returns!P21*P24</f>
        <v/>
      </c>
      <c r="Q25" s="42">
        <f>Returns!Q20*(1-Returns!Q24)*P23*(Returns!Q22+$C22/10000)/4+IF(AND(Returns!Q20=1,Returns!Q24=0),MIN(P23,Returns!$C$6*Returns!$C$11/4),0)+Returns!Q21*Q23*Returns!$C$12/100-Returns!Q20*P24*(Returns!Q22+Returns!$I$8/10000)/4-$F22*IF(AND(Returns!Q20=1,Returns!Q24=0),MIN(P23,Returns!$C$6*Returns!$C$11/4),0)/Returns!$C$6-Returns!Q21*Q24</f>
        <v/>
      </c>
      <c r="R25" s="42">
        <f>Returns!R20*(1-Returns!R24)*Q23*(Returns!R22+$C22/10000)/4+IF(AND(Returns!R20=1,Returns!R24=0),MIN(Q23,Returns!$C$6*Returns!$C$11/4),0)+Returns!R21*R23*Returns!$C$12/100-Returns!R20*Q24*(Returns!R22+Returns!$I$8/10000)/4-$F22*IF(AND(Returns!R20=1,Returns!R24=0),MIN(Q23,Returns!$C$6*Returns!$C$11/4),0)/Returns!$C$6-Returns!R21*R24</f>
        <v/>
      </c>
      <c r="S25" s="42">
        <f>Returns!S20*(1-Returns!S24)*R23*(Returns!S22+$C22/10000)/4+IF(AND(Returns!S20=1,Returns!S24=0),MIN(R23,Returns!$C$6*Returns!$C$11/4),0)+Returns!S21*S23*Returns!$C$12/100-Returns!S20*R24*(Returns!S22+Returns!$I$8/10000)/4-$F22*IF(AND(Returns!S20=1,Returns!S24=0),MIN(R23,Returns!$C$6*Returns!$C$11/4),0)/Returns!$C$6-Returns!S21*S24</f>
        <v/>
      </c>
      <c r="T25" s="42">
        <f>Returns!T20*(1-Returns!T24)*S23*(Returns!T22+$C22/10000)/4+IF(AND(Returns!T20=1,Returns!T24=0),MIN(S23,Returns!$C$6*Returns!$C$11/4),0)+Returns!T21*T23*Returns!$C$12/100-Returns!T20*S24*(Returns!T22+Returns!$I$8/10000)/4-$F22*IF(AND(Returns!T20=1,Returns!T24=0),MIN(S23,Returns!$C$6*Returns!$C$11/4),0)/Returns!$C$6-Returns!T21*T24</f>
        <v/>
      </c>
      <c r="U25" s="42">
        <f>Returns!U20*(1-Returns!U24)*T23*(Returns!U22+$C22/10000)/4+IF(AND(Returns!U20=1,Returns!U24=0),MIN(T23,Returns!$C$6*Returns!$C$11/4),0)+Returns!U21*U23*Returns!$C$12/100-Returns!U20*T24*(Returns!U22+Returns!$I$8/10000)/4-$F22*IF(AND(Returns!U20=1,Returns!U24=0),MIN(T23,Returns!$C$6*Returns!$C$11/4),0)/Returns!$C$6-Returns!U21*U24</f>
        <v/>
      </c>
      <c r="V25" s="42">
        <f>Returns!V20*(1-Returns!V24)*U23*(Returns!V22+$C22/10000)/4+IF(AND(Returns!V20=1,Returns!V24=0),MIN(U23,Returns!$C$6*Returns!$C$11/4),0)+Returns!V21*V23*Returns!$C$12/100-Returns!V20*U24*(Returns!V22+Returns!$I$8/10000)/4-$F22*IF(AND(Returns!V20=1,Returns!V24=0),MIN(U23,Returns!$C$6*Returns!$C$11/4),0)/Returns!$C$6-Returns!V21*V24</f>
        <v/>
      </c>
      <c r="W25" s="42">
        <f>Returns!W20*(1-Returns!W24)*V23*(Returns!W22+$C22/10000)/4+IF(AND(Returns!W20=1,Returns!W24=0),MIN(V23,Returns!$C$6*Returns!$C$11/4),0)+Returns!W21*W23*Returns!$C$12/100-Returns!W20*V24*(Returns!W22+Returns!$I$8/10000)/4-$F22*IF(AND(Returns!W20=1,Returns!W24=0),MIN(V23,Returns!$C$6*Returns!$C$11/4),0)/Returns!$C$6-Returns!W21*W24</f>
        <v/>
      </c>
    </row>
    <row r="27" ht="15" customHeight="1" s="31">
      <c r="B27" s="34" t="inlineStr">
        <is>
          <t>Spread offset -50 bps, leverage 1.00x — parameters (spread, leverage, advance rate, financing at close)</t>
        </is>
      </c>
      <c r="C27" s="45">
        <f>Returns!$C$7+(-50)</f>
        <v/>
      </c>
      <c r="D27" s="59" t="n">
        <v>1</v>
      </c>
      <c r="E27" s="60">
        <f>D27/(1+D27)</f>
        <v/>
      </c>
      <c r="F27" s="42">
        <f>Returns!$C$6*(1-Returns!$D$8)*E27</f>
        <v/>
      </c>
    </row>
    <row r="28" ht="15" customHeight="1" s="31">
      <c r="B28" s="35" t="inlineStr">
        <is>
          <t>Loan ending balance (before exit payoff)</t>
        </is>
      </c>
      <c r="C28" s="42">
        <f>Returns!$C$6</f>
        <v/>
      </c>
      <c r="D28" s="42">
        <f>IF(Returns!D20=1,C28+Returns!D24*C28*(Returns!D22+$C27/10000)/4-IF(AND(Returns!D20=1,Returns!D24=0),MIN(C28,Returns!$C$6*Returns!$C$11/4),0),0)</f>
        <v/>
      </c>
      <c r="E28" s="42">
        <f>IF(Returns!E20=1,D28+Returns!E24*D28*(Returns!E22+$C27/10000)/4-IF(AND(Returns!E20=1,Returns!E24=0),MIN(D28,Returns!$C$6*Returns!$C$11/4),0),0)</f>
        <v/>
      </c>
      <c r="F28" s="42">
        <f>IF(Returns!F20=1,E28+Returns!F24*E28*(Returns!F22+$C27/10000)/4-IF(AND(Returns!F20=1,Returns!F24=0),MIN(E28,Returns!$C$6*Returns!$C$11/4),0),0)</f>
        <v/>
      </c>
      <c r="G28" s="42">
        <f>IF(Returns!G20=1,F28+Returns!G24*F28*(Returns!G22+$C27/10000)/4-IF(AND(Returns!G20=1,Returns!G24=0),MIN(F28,Returns!$C$6*Returns!$C$11/4),0),0)</f>
        <v/>
      </c>
      <c r="H28" s="42">
        <f>IF(Returns!H20=1,G28+Returns!H24*G28*(Returns!H22+$C27/10000)/4-IF(AND(Returns!H20=1,Returns!H24=0),MIN(G28,Returns!$C$6*Returns!$C$11/4),0),0)</f>
        <v/>
      </c>
      <c r="I28" s="42">
        <f>IF(Returns!I20=1,H28+Returns!I24*H28*(Returns!I22+$C27/10000)/4-IF(AND(Returns!I20=1,Returns!I24=0),MIN(H28,Returns!$C$6*Returns!$C$11/4),0),0)</f>
        <v/>
      </c>
      <c r="J28" s="42">
        <f>IF(Returns!J20=1,I28+Returns!J24*I28*(Returns!J22+$C27/10000)/4-IF(AND(Returns!J20=1,Returns!J24=0),MIN(I28,Returns!$C$6*Returns!$C$11/4),0),0)</f>
        <v/>
      </c>
      <c r="K28" s="42">
        <f>IF(Returns!K20=1,J28+Returns!K24*J28*(Returns!K22+$C27/10000)/4-IF(AND(Returns!K20=1,Returns!K24=0),MIN(J28,Returns!$C$6*Returns!$C$11/4),0),0)</f>
        <v/>
      </c>
      <c r="L28" s="42">
        <f>IF(Returns!L20=1,K28+Returns!L24*K28*(Returns!L22+$C27/10000)/4-IF(AND(Returns!L20=1,Returns!L24=0),MIN(K28,Returns!$C$6*Returns!$C$11/4),0),0)</f>
        <v/>
      </c>
      <c r="M28" s="42">
        <f>IF(Returns!M20=1,L28+Returns!M24*L28*(Returns!M22+$C27/10000)/4-IF(AND(Returns!M20=1,Returns!M24=0),MIN(L28,Returns!$C$6*Returns!$C$11/4),0),0)</f>
        <v/>
      </c>
      <c r="N28" s="42">
        <f>IF(Returns!N20=1,M28+Returns!N24*M28*(Returns!N22+$C27/10000)/4-IF(AND(Returns!N20=1,Returns!N24=0),MIN(M28,Returns!$C$6*Returns!$C$11/4),0),0)</f>
        <v/>
      </c>
      <c r="O28" s="42">
        <f>IF(Returns!O20=1,N28+Returns!O24*N28*(Returns!O22+$C27/10000)/4-IF(AND(Returns!O20=1,Returns!O24=0),MIN(N28,Returns!$C$6*Returns!$C$11/4),0),0)</f>
        <v/>
      </c>
      <c r="P28" s="42">
        <f>IF(Returns!P20=1,O28+Returns!P24*O28*(Returns!P22+$C27/10000)/4-IF(AND(Returns!P20=1,Returns!P24=0),MIN(O28,Returns!$C$6*Returns!$C$11/4),0),0)</f>
        <v/>
      </c>
      <c r="Q28" s="42">
        <f>IF(Returns!Q20=1,P28+Returns!Q24*P28*(Returns!Q22+$C27/10000)/4-IF(AND(Returns!Q20=1,Returns!Q24=0),MIN(P28,Returns!$C$6*Returns!$C$11/4),0),0)</f>
        <v/>
      </c>
      <c r="R28" s="42">
        <f>IF(Returns!R20=1,Q28+Returns!R24*Q28*(Returns!R22+$C27/10000)/4-IF(AND(Returns!R20=1,Returns!R24=0),MIN(Q28,Returns!$C$6*Returns!$C$11/4),0),0)</f>
        <v/>
      </c>
      <c r="S28" s="42">
        <f>IF(Returns!S20=1,R28+Returns!S24*R28*(Returns!S22+$C27/10000)/4-IF(AND(Returns!S20=1,Returns!S24=0),MIN(R28,Returns!$C$6*Returns!$C$11/4),0),0)</f>
        <v/>
      </c>
      <c r="T28" s="42">
        <f>IF(Returns!T20=1,S28+Returns!T24*S28*(Returns!T22+$C27/10000)/4-IF(AND(Returns!T20=1,Returns!T24=0),MIN(S28,Returns!$C$6*Returns!$C$11/4),0),0)</f>
        <v/>
      </c>
      <c r="U28" s="42">
        <f>IF(Returns!U20=1,T28+Returns!U24*T28*(Returns!U22+$C27/10000)/4-IF(AND(Returns!U20=1,Returns!U24=0),MIN(T28,Returns!$C$6*Returns!$C$11/4),0),0)</f>
        <v/>
      </c>
      <c r="V28" s="42">
        <f>IF(Returns!V20=1,U28+Returns!V24*U28*(Returns!V22+$C27/10000)/4-IF(AND(Returns!V20=1,Returns!V24=0),MIN(U28,Returns!$C$6*Returns!$C$11/4),0),0)</f>
        <v/>
      </c>
      <c r="W28" s="42">
        <f>IF(Returns!W20=1,V28+Returns!W24*V28*(Returns!W22+$C27/10000)/4-IF(AND(Returns!W20=1,Returns!W24=0),MIN(V28,Returns!$C$6*Returns!$C$11/4),0),0)</f>
        <v/>
      </c>
    </row>
    <row r="29" ht="15" customHeight="1" s="31">
      <c r="B29" s="35" t="inlineStr">
        <is>
          <t>Financing line ending balance (before exit payoff)</t>
        </is>
      </c>
      <c r="C29" s="42">
        <f>$F27</f>
        <v/>
      </c>
      <c r="D29" s="42">
        <f>IF(Returns!D20=1,C29-$F27*IF(AND(Returns!D20=1,Returns!D24=0),MIN(C28,Returns!$C$6*Returns!$C$11/4),0)/Returns!$C$6,0)</f>
        <v/>
      </c>
      <c r="E29" s="42">
        <f>IF(Returns!E20=1,D29-$F27*IF(AND(Returns!E20=1,Returns!E24=0),MIN(D28,Returns!$C$6*Returns!$C$11/4),0)/Returns!$C$6,0)</f>
        <v/>
      </c>
      <c r="F29" s="42">
        <f>IF(Returns!F20=1,E29-$F27*IF(AND(Returns!F20=1,Returns!F24=0),MIN(E28,Returns!$C$6*Returns!$C$11/4),0)/Returns!$C$6,0)</f>
        <v/>
      </c>
      <c r="G29" s="42">
        <f>IF(Returns!G20=1,F29-$F27*IF(AND(Returns!G20=1,Returns!G24=0),MIN(F28,Returns!$C$6*Returns!$C$11/4),0)/Returns!$C$6,0)</f>
        <v/>
      </c>
      <c r="H29" s="42">
        <f>IF(Returns!H20=1,G29-$F27*IF(AND(Returns!H20=1,Returns!H24=0),MIN(G28,Returns!$C$6*Returns!$C$11/4),0)/Returns!$C$6,0)</f>
        <v/>
      </c>
      <c r="I29" s="42">
        <f>IF(Returns!I20=1,H29-$F27*IF(AND(Returns!I20=1,Returns!I24=0),MIN(H28,Returns!$C$6*Returns!$C$11/4),0)/Returns!$C$6,0)</f>
        <v/>
      </c>
      <c r="J29" s="42">
        <f>IF(Returns!J20=1,I29-$F27*IF(AND(Returns!J20=1,Returns!J24=0),MIN(I28,Returns!$C$6*Returns!$C$11/4),0)/Returns!$C$6,0)</f>
        <v/>
      </c>
      <c r="K29" s="42">
        <f>IF(Returns!K20=1,J29-$F27*IF(AND(Returns!K20=1,Returns!K24=0),MIN(J28,Returns!$C$6*Returns!$C$11/4),0)/Returns!$C$6,0)</f>
        <v/>
      </c>
      <c r="L29" s="42">
        <f>IF(Returns!L20=1,K29-$F27*IF(AND(Returns!L20=1,Returns!L24=0),MIN(K28,Returns!$C$6*Returns!$C$11/4),0)/Returns!$C$6,0)</f>
        <v/>
      </c>
      <c r="M29" s="42">
        <f>IF(Returns!M20=1,L29-$F27*IF(AND(Returns!M20=1,Returns!M24=0),MIN(L28,Returns!$C$6*Returns!$C$11/4),0)/Returns!$C$6,0)</f>
        <v/>
      </c>
      <c r="N29" s="42">
        <f>IF(Returns!N20=1,M29-$F27*IF(AND(Returns!N20=1,Returns!N24=0),MIN(M28,Returns!$C$6*Returns!$C$11/4),0)/Returns!$C$6,0)</f>
        <v/>
      </c>
      <c r="O29" s="42">
        <f>IF(Returns!O20=1,N29-$F27*IF(AND(Returns!O20=1,Returns!O24=0),MIN(N28,Returns!$C$6*Returns!$C$11/4),0)/Returns!$C$6,0)</f>
        <v/>
      </c>
      <c r="P29" s="42">
        <f>IF(Returns!P20=1,O29-$F27*IF(AND(Returns!P20=1,Returns!P24=0),MIN(O28,Returns!$C$6*Returns!$C$11/4),0)/Returns!$C$6,0)</f>
        <v/>
      </c>
      <c r="Q29" s="42">
        <f>IF(Returns!Q20=1,P29-$F27*IF(AND(Returns!Q20=1,Returns!Q24=0),MIN(P28,Returns!$C$6*Returns!$C$11/4),0)/Returns!$C$6,0)</f>
        <v/>
      </c>
      <c r="R29" s="42">
        <f>IF(Returns!R20=1,Q29-$F27*IF(AND(Returns!R20=1,Returns!R24=0),MIN(Q28,Returns!$C$6*Returns!$C$11/4),0)/Returns!$C$6,0)</f>
        <v/>
      </c>
      <c r="S29" s="42">
        <f>IF(Returns!S20=1,R29-$F27*IF(AND(Returns!S20=1,Returns!S24=0),MIN(R28,Returns!$C$6*Returns!$C$11/4),0)/Returns!$C$6,0)</f>
        <v/>
      </c>
      <c r="T29" s="42">
        <f>IF(Returns!T20=1,S29-$F27*IF(AND(Returns!T20=1,Returns!T24=0),MIN(S28,Returns!$C$6*Returns!$C$11/4),0)/Returns!$C$6,0)</f>
        <v/>
      </c>
      <c r="U29" s="42">
        <f>IF(Returns!U20=1,T29-$F27*IF(AND(Returns!U20=1,Returns!U24=0),MIN(T28,Returns!$C$6*Returns!$C$11/4),0)/Returns!$C$6,0)</f>
        <v/>
      </c>
      <c r="V29" s="42">
        <f>IF(Returns!V20=1,U29-$F27*IF(AND(Returns!V20=1,Returns!V24=0),MIN(U28,Returns!$C$6*Returns!$C$11/4),0)/Returns!$C$6,0)</f>
        <v/>
      </c>
      <c r="W29" s="42">
        <f>IF(Returns!W20=1,V29-$F27*IF(AND(Returns!W20=1,Returns!W24=0),MIN(V28,Returns!$C$6*Returns!$C$11/4),0)/Returns!$C$6,0)</f>
        <v/>
      </c>
    </row>
    <row r="30" ht="15" customHeight="1" s="31">
      <c r="B30" s="35" t="inlineStr">
        <is>
          <t>Levered net cash flow</t>
        </is>
      </c>
      <c r="C30" s="42">
        <f>-Returns!$C$6*(1-Returns!$D$8)+$F27</f>
        <v/>
      </c>
      <c r="D30" s="42">
        <f>Returns!D20*(1-Returns!D24)*C28*(Returns!D22+$C27/10000)/4+IF(AND(Returns!D20=1,Returns!D24=0),MIN(C28,Returns!$C$6*Returns!$C$11/4),0)+Returns!D21*D28*Returns!$C$12/100-Returns!D20*C29*(Returns!D22+Returns!$I$8/10000)/4-$F27*IF(AND(Returns!D20=1,Returns!D24=0),MIN(C28,Returns!$C$6*Returns!$C$11/4),0)/Returns!$C$6-Returns!D21*D29</f>
        <v/>
      </c>
      <c r="E30" s="42">
        <f>Returns!E20*(1-Returns!E24)*D28*(Returns!E22+$C27/10000)/4+IF(AND(Returns!E20=1,Returns!E24=0),MIN(D28,Returns!$C$6*Returns!$C$11/4),0)+Returns!E21*E28*Returns!$C$12/100-Returns!E20*D29*(Returns!E22+Returns!$I$8/10000)/4-$F27*IF(AND(Returns!E20=1,Returns!E24=0),MIN(D28,Returns!$C$6*Returns!$C$11/4),0)/Returns!$C$6-Returns!E21*E29</f>
        <v/>
      </c>
      <c r="F30" s="42">
        <f>Returns!F20*(1-Returns!F24)*E28*(Returns!F22+$C27/10000)/4+IF(AND(Returns!F20=1,Returns!F24=0),MIN(E28,Returns!$C$6*Returns!$C$11/4),0)+Returns!F21*F28*Returns!$C$12/100-Returns!F20*E29*(Returns!F22+Returns!$I$8/10000)/4-$F27*IF(AND(Returns!F20=1,Returns!F24=0),MIN(E28,Returns!$C$6*Returns!$C$11/4),0)/Returns!$C$6-Returns!F21*F29</f>
        <v/>
      </c>
      <c r="G30" s="42">
        <f>Returns!G20*(1-Returns!G24)*F28*(Returns!G22+$C27/10000)/4+IF(AND(Returns!G20=1,Returns!G24=0),MIN(F28,Returns!$C$6*Returns!$C$11/4),0)+Returns!G21*G28*Returns!$C$12/100-Returns!G20*F29*(Returns!G22+Returns!$I$8/10000)/4-$F27*IF(AND(Returns!G20=1,Returns!G24=0),MIN(F28,Returns!$C$6*Returns!$C$11/4),0)/Returns!$C$6-Returns!G21*G29</f>
        <v/>
      </c>
      <c r="H30" s="42">
        <f>Returns!H20*(1-Returns!H24)*G28*(Returns!H22+$C27/10000)/4+IF(AND(Returns!H20=1,Returns!H24=0),MIN(G28,Returns!$C$6*Returns!$C$11/4),0)+Returns!H21*H28*Returns!$C$12/100-Returns!H20*G29*(Returns!H22+Returns!$I$8/10000)/4-$F27*IF(AND(Returns!H20=1,Returns!H24=0),MIN(G28,Returns!$C$6*Returns!$C$11/4),0)/Returns!$C$6-Returns!H21*H29</f>
        <v/>
      </c>
      <c r="I30" s="42">
        <f>Returns!I20*(1-Returns!I24)*H28*(Returns!I22+$C27/10000)/4+IF(AND(Returns!I20=1,Returns!I24=0),MIN(H28,Returns!$C$6*Returns!$C$11/4),0)+Returns!I21*I28*Returns!$C$12/100-Returns!I20*H29*(Returns!I22+Returns!$I$8/10000)/4-$F27*IF(AND(Returns!I20=1,Returns!I24=0),MIN(H28,Returns!$C$6*Returns!$C$11/4),0)/Returns!$C$6-Returns!I21*I29</f>
        <v/>
      </c>
      <c r="J30" s="42">
        <f>Returns!J20*(1-Returns!J24)*I28*(Returns!J22+$C27/10000)/4+IF(AND(Returns!J20=1,Returns!J24=0),MIN(I28,Returns!$C$6*Returns!$C$11/4),0)+Returns!J21*J28*Returns!$C$12/100-Returns!J20*I29*(Returns!J22+Returns!$I$8/10000)/4-$F27*IF(AND(Returns!J20=1,Returns!J24=0),MIN(I28,Returns!$C$6*Returns!$C$11/4),0)/Returns!$C$6-Returns!J21*J29</f>
        <v/>
      </c>
      <c r="K30" s="42">
        <f>Returns!K20*(1-Returns!K24)*J28*(Returns!K22+$C27/10000)/4+IF(AND(Returns!K20=1,Returns!K24=0),MIN(J28,Returns!$C$6*Returns!$C$11/4),0)+Returns!K21*K28*Returns!$C$12/100-Returns!K20*J29*(Returns!K22+Returns!$I$8/10000)/4-$F27*IF(AND(Returns!K20=1,Returns!K24=0),MIN(J28,Returns!$C$6*Returns!$C$11/4),0)/Returns!$C$6-Returns!K21*K29</f>
        <v/>
      </c>
      <c r="L30" s="42">
        <f>Returns!L20*(1-Returns!L24)*K28*(Returns!L22+$C27/10000)/4+IF(AND(Returns!L20=1,Returns!L24=0),MIN(K28,Returns!$C$6*Returns!$C$11/4),0)+Returns!L21*L28*Returns!$C$12/100-Returns!L20*K29*(Returns!L22+Returns!$I$8/10000)/4-$F27*IF(AND(Returns!L20=1,Returns!L24=0),MIN(K28,Returns!$C$6*Returns!$C$11/4),0)/Returns!$C$6-Returns!L21*L29</f>
        <v/>
      </c>
      <c r="M30" s="42">
        <f>Returns!M20*(1-Returns!M24)*L28*(Returns!M22+$C27/10000)/4+IF(AND(Returns!M20=1,Returns!M24=0),MIN(L28,Returns!$C$6*Returns!$C$11/4),0)+Returns!M21*M28*Returns!$C$12/100-Returns!M20*L29*(Returns!M22+Returns!$I$8/10000)/4-$F27*IF(AND(Returns!M20=1,Returns!M24=0),MIN(L28,Returns!$C$6*Returns!$C$11/4),0)/Returns!$C$6-Returns!M21*M29</f>
        <v/>
      </c>
      <c r="N30" s="42">
        <f>Returns!N20*(1-Returns!N24)*M28*(Returns!N22+$C27/10000)/4+IF(AND(Returns!N20=1,Returns!N24=0),MIN(M28,Returns!$C$6*Returns!$C$11/4),0)+Returns!N21*N28*Returns!$C$12/100-Returns!N20*M29*(Returns!N22+Returns!$I$8/10000)/4-$F27*IF(AND(Returns!N20=1,Returns!N24=0),MIN(M28,Returns!$C$6*Returns!$C$11/4),0)/Returns!$C$6-Returns!N21*N29</f>
        <v/>
      </c>
      <c r="O30" s="42">
        <f>Returns!O20*(1-Returns!O24)*N28*(Returns!O22+$C27/10000)/4+IF(AND(Returns!O20=1,Returns!O24=0),MIN(N28,Returns!$C$6*Returns!$C$11/4),0)+Returns!O21*O28*Returns!$C$12/100-Returns!O20*N29*(Returns!O22+Returns!$I$8/10000)/4-$F27*IF(AND(Returns!O20=1,Returns!O24=0),MIN(N28,Returns!$C$6*Returns!$C$11/4),0)/Returns!$C$6-Returns!O21*O29</f>
        <v/>
      </c>
      <c r="P30" s="42">
        <f>Returns!P20*(1-Returns!P24)*O28*(Returns!P22+$C27/10000)/4+IF(AND(Returns!P20=1,Returns!P24=0),MIN(O28,Returns!$C$6*Returns!$C$11/4),0)+Returns!P21*P28*Returns!$C$12/100-Returns!P20*O29*(Returns!P22+Returns!$I$8/10000)/4-$F27*IF(AND(Returns!P20=1,Returns!P24=0),MIN(O28,Returns!$C$6*Returns!$C$11/4),0)/Returns!$C$6-Returns!P21*P29</f>
        <v/>
      </c>
      <c r="Q30" s="42">
        <f>Returns!Q20*(1-Returns!Q24)*P28*(Returns!Q22+$C27/10000)/4+IF(AND(Returns!Q20=1,Returns!Q24=0),MIN(P28,Returns!$C$6*Returns!$C$11/4),0)+Returns!Q21*Q28*Returns!$C$12/100-Returns!Q20*P29*(Returns!Q22+Returns!$I$8/10000)/4-$F27*IF(AND(Returns!Q20=1,Returns!Q24=0),MIN(P28,Returns!$C$6*Returns!$C$11/4),0)/Returns!$C$6-Returns!Q21*Q29</f>
        <v/>
      </c>
      <c r="R30" s="42">
        <f>Returns!R20*(1-Returns!R24)*Q28*(Returns!R22+$C27/10000)/4+IF(AND(Returns!R20=1,Returns!R24=0),MIN(Q28,Returns!$C$6*Returns!$C$11/4),0)+Returns!R21*R28*Returns!$C$12/100-Returns!R20*Q29*(Returns!R22+Returns!$I$8/10000)/4-$F27*IF(AND(Returns!R20=1,Returns!R24=0),MIN(Q28,Returns!$C$6*Returns!$C$11/4),0)/Returns!$C$6-Returns!R21*R29</f>
        <v/>
      </c>
      <c r="S30" s="42">
        <f>Returns!S20*(1-Returns!S24)*R28*(Returns!S22+$C27/10000)/4+IF(AND(Returns!S20=1,Returns!S24=0),MIN(R28,Returns!$C$6*Returns!$C$11/4),0)+Returns!S21*S28*Returns!$C$12/100-Returns!S20*R29*(Returns!S22+Returns!$I$8/10000)/4-$F27*IF(AND(Returns!S20=1,Returns!S24=0),MIN(R28,Returns!$C$6*Returns!$C$11/4),0)/Returns!$C$6-Returns!S21*S29</f>
        <v/>
      </c>
      <c r="T30" s="42">
        <f>Returns!T20*(1-Returns!T24)*S28*(Returns!T22+$C27/10000)/4+IF(AND(Returns!T20=1,Returns!T24=0),MIN(S28,Returns!$C$6*Returns!$C$11/4),0)+Returns!T21*T28*Returns!$C$12/100-Returns!T20*S29*(Returns!T22+Returns!$I$8/10000)/4-$F27*IF(AND(Returns!T20=1,Returns!T24=0),MIN(S28,Returns!$C$6*Returns!$C$11/4),0)/Returns!$C$6-Returns!T21*T29</f>
        <v/>
      </c>
      <c r="U30" s="42">
        <f>Returns!U20*(1-Returns!U24)*T28*(Returns!U22+$C27/10000)/4+IF(AND(Returns!U20=1,Returns!U24=0),MIN(T28,Returns!$C$6*Returns!$C$11/4),0)+Returns!U21*U28*Returns!$C$12/100-Returns!U20*T29*(Returns!U22+Returns!$I$8/10000)/4-$F27*IF(AND(Returns!U20=1,Returns!U24=0),MIN(T28,Returns!$C$6*Returns!$C$11/4),0)/Returns!$C$6-Returns!U21*U29</f>
        <v/>
      </c>
      <c r="V30" s="42">
        <f>Returns!V20*(1-Returns!V24)*U28*(Returns!V22+$C27/10000)/4+IF(AND(Returns!V20=1,Returns!V24=0),MIN(U28,Returns!$C$6*Returns!$C$11/4),0)+Returns!V21*V28*Returns!$C$12/100-Returns!V20*U29*(Returns!V22+Returns!$I$8/10000)/4-$F27*IF(AND(Returns!V20=1,Returns!V24=0),MIN(U28,Returns!$C$6*Returns!$C$11/4),0)/Returns!$C$6-Returns!V21*V29</f>
        <v/>
      </c>
      <c r="W30" s="42">
        <f>Returns!W20*(1-Returns!W24)*V28*(Returns!W22+$C27/10000)/4+IF(AND(Returns!W20=1,Returns!W24=0),MIN(V28,Returns!$C$6*Returns!$C$11/4),0)+Returns!W21*W28*Returns!$C$12/100-Returns!W20*V29*(Returns!W22+Returns!$I$8/10000)/4-$F27*IF(AND(Returns!W20=1,Returns!W24=0),MIN(V28,Returns!$C$6*Returns!$C$11/4),0)/Returns!$C$6-Returns!W21*W29</f>
        <v/>
      </c>
    </row>
    <row r="32" ht="15" customHeight="1" s="31">
      <c r="B32" s="34" t="inlineStr">
        <is>
          <t>Spread offset -50 bps, leverage 1.25x — parameters (spread, leverage, advance rate, financing at close)</t>
        </is>
      </c>
      <c r="C32" s="45">
        <f>Returns!$C$7+(-50)</f>
        <v/>
      </c>
      <c r="D32" s="59" t="n">
        <v>1.25</v>
      </c>
      <c r="E32" s="60">
        <f>D32/(1+D32)</f>
        <v/>
      </c>
      <c r="F32" s="42">
        <f>Returns!$C$6*(1-Returns!$D$8)*E32</f>
        <v/>
      </c>
    </row>
    <row r="33" ht="15" customHeight="1" s="31">
      <c r="B33" s="35" t="inlineStr">
        <is>
          <t>Loan ending balance (before exit payoff)</t>
        </is>
      </c>
      <c r="C33" s="42">
        <f>Returns!$C$6</f>
        <v/>
      </c>
      <c r="D33" s="42">
        <f>IF(Returns!D20=1,C33+Returns!D24*C33*(Returns!D22+$C32/10000)/4-IF(AND(Returns!D20=1,Returns!D24=0),MIN(C33,Returns!$C$6*Returns!$C$11/4),0),0)</f>
        <v/>
      </c>
      <c r="E33" s="42">
        <f>IF(Returns!E20=1,D33+Returns!E24*D33*(Returns!E22+$C32/10000)/4-IF(AND(Returns!E20=1,Returns!E24=0),MIN(D33,Returns!$C$6*Returns!$C$11/4),0),0)</f>
        <v/>
      </c>
      <c r="F33" s="42">
        <f>IF(Returns!F20=1,E33+Returns!F24*E33*(Returns!F22+$C32/10000)/4-IF(AND(Returns!F20=1,Returns!F24=0),MIN(E33,Returns!$C$6*Returns!$C$11/4),0),0)</f>
        <v/>
      </c>
      <c r="G33" s="42">
        <f>IF(Returns!G20=1,F33+Returns!G24*F33*(Returns!G22+$C32/10000)/4-IF(AND(Returns!G20=1,Returns!G24=0),MIN(F33,Returns!$C$6*Returns!$C$11/4),0),0)</f>
        <v/>
      </c>
      <c r="H33" s="42">
        <f>IF(Returns!H20=1,G33+Returns!H24*G33*(Returns!H22+$C32/10000)/4-IF(AND(Returns!H20=1,Returns!H24=0),MIN(G33,Returns!$C$6*Returns!$C$11/4),0),0)</f>
        <v/>
      </c>
      <c r="I33" s="42">
        <f>IF(Returns!I20=1,H33+Returns!I24*H33*(Returns!I22+$C32/10000)/4-IF(AND(Returns!I20=1,Returns!I24=0),MIN(H33,Returns!$C$6*Returns!$C$11/4),0),0)</f>
        <v/>
      </c>
      <c r="J33" s="42">
        <f>IF(Returns!J20=1,I33+Returns!J24*I33*(Returns!J22+$C32/10000)/4-IF(AND(Returns!J20=1,Returns!J24=0),MIN(I33,Returns!$C$6*Returns!$C$11/4),0),0)</f>
        <v/>
      </c>
      <c r="K33" s="42">
        <f>IF(Returns!K20=1,J33+Returns!K24*J33*(Returns!K22+$C32/10000)/4-IF(AND(Returns!K20=1,Returns!K24=0),MIN(J33,Returns!$C$6*Returns!$C$11/4),0),0)</f>
        <v/>
      </c>
      <c r="L33" s="42">
        <f>IF(Returns!L20=1,K33+Returns!L24*K33*(Returns!L22+$C32/10000)/4-IF(AND(Returns!L20=1,Returns!L24=0),MIN(K33,Returns!$C$6*Returns!$C$11/4),0),0)</f>
        <v/>
      </c>
      <c r="M33" s="42">
        <f>IF(Returns!M20=1,L33+Returns!M24*L33*(Returns!M22+$C32/10000)/4-IF(AND(Returns!M20=1,Returns!M24=0),MIN(L33,Returns!$C$6*Returns!$C$11/4),0),0)</f>
        <v/>
      </c>
      <c r="N33" s="42">
        <f>IF(Returns!N20=1,M33+Returns!N24*M33*(Returns!N22+$C32/10000)/4-IF(AND(Returns!N20=1,Returns!N24=0),MIN(M33,Returns!$C$6*Returns!$C$11/4),0),0)</f>
        <v/>
      </c>
      <c r="O33" s="42">
        <f>IF(Returns!O20=1,N33+Returns!O24*N33*(Returns!O22+$C32/10000)/4-IF(AND(Returns!O20=1,Returns!O24=0),MIN(N33,Returns!$C$6*Returns!$C$11/4),0),0)</f>
        <v/>
      </c>
      <c r="P33" s="42">
        <f>IF(Returns!P20=1,O33+Returns!P24*O33*(Returns!P22+$C32/10000)/4-IF(AND(Returns!P20=1,Returns!P24=0),MIN(O33,Returns!$C$6*Returns!$C$11/4),0),0)</f>
        <v/>
      </c>
      <c r="Q33" s="42">
        <f>IF(Returns!Q20=1,P33+Returns!Q24*P33*(Returns!Q22+$C32/10000)/4-IF(AND(Returns!Q20=1,Returns!Q24=0),MIN(P33,Returns!$C$6*Returns!$C$11/4),0),0)</f>
        <v/>
      </c>
      <c r="R33" s="42">
        <f>IF(Returns!R20=1,Q33+Returns!R24*Q33*(Returns!R22+$C32/10000)/4-IF(AND(Returns!R20=1,Returns!R24=0),MIN(Q33,Returns!$C$6*Returns!$C$11/4),0),0)</f>
        <v/>
      </c>
      <c r="S33" s="42">
        <f>IF(Returns!S20=1,R33+Returns!S24*R33*(Returns!S22+$C32/10000)/4-IF(AND(Returns!S20=1,Returns!S24=0),MIN(R33,Returns!$C$6*Returns!$C$11/4),0),0)</f>
        <v/>
      </c>
      <c r="T33" s="42">
        <f>IF(Returns!T20=1,S33+Returns!T24*S33*(Returns!T22+$C32/10000)/4-IF(AND(Returns!T20=1,Returns!T24=0),MIN(S33,Returns!$C$6*Returns!$C$11/4),0),0)</f>
        <v/>
      </c>
      <c r="U33" s="42">
        <f>IF(Returns!U20=1,T33+Returns!U24*T33*(Returns!U22+$C32/10000)/4-IF(AND(Returns!U20=1,Returns!U24=0),MIN(T33,Returns!$C$6*Returns!$C$11/4),0),0)</f>
        <v/>
      </c>
      <c r="V33" s="42">
        <f>IF(Returns!V20=1,U33+Returns!V24*U33*(Returns!V22+$C32/10000)/4-IF(AND(Returns!V20=1,Returns!V24=0),MIN(U33,Returns!$C$6*Returns!$C$11/4),0),0)</f>
        <v/>
      </c>
      <c r="W33" s="42">
        <f>IF(Returns!W20=1,V33+Returns!W24*V33*(Returns!W22+$C32/10000)/4-IF(AND(Returns!W20=1,Returns!W24=0),MIN(V33,Returns!$C$6*Returns!$C$11/4),0),0)</f>
        <v/>
      </c>
    </row>
    <row r="34" ht="15" customHeight="1" s="31">
      <c r="B34" s="35" t="inlineStr">
        <is>
          <t>Financing line ending balance (before exit payoff)</t>
        </is>
      </c>
      <c r="C34" s="42">
        <f>$F32</f>
        <v/>
      </c>
      <c r="D34" s="42">
        <f>IF(Returns!D20=1,C34-$F32*IF(AND(Returns!D20=1,Returns!D24=0),MIN(C33,Returns!$C$6*Returns!$C$11/4),0)/Returns!$C$6,0)</f>
        <v/>
      </c>
      <c r="E34" s="42">
        <f>IF(Returns!E20=1,D34-$F32*IF(AND(Returns!E20=1,Returns!E24=0),MIN(D33,Returns!$C$6*Returns!$C$11/4),0)/Returns!$C$6,0)</f>
        <v/>
      </c>
      <c r="F34" s="42">
        <f>IF(Returns!F20=1,E34-$F32*IF(AND(Returns!F20=1,Returns!F24=0),MIN(E33,Returns!$C$6*Returns!$C$11/4),0)/Returns!$C$6,0)</f>
        <v/>
      </c>
      <c r="G34" s="42">
        <f>IF(Returns!G20=1,F34-$F32*IF(AND(Returns!G20=1,Returns!G24=0),MIN(F33,Returns!$C$6*Returns!$C$11/4),0)/Returns!$C$6,0)</f>
        <v/>
      </c>
      <c r="H34" s="42">
        <f>IF(Returns!H20=1,G34-$F32*IF(AND(Returns!H20=1,Returns!H24=0),MIN(G33,Returns!$C$6*Returns!$C$11/4),0)/Returns!$C$6,0)</f>
        <v/>
      </c>
      <c r="I34" s="42">
        <f>IF(Returns!I20=1,H34-$F32*IF(AND(Returns!I20=1,Returns!I24=0),MIN(H33,Returns!$C$6*Returns!$C$11/4),0)/Returns!$C$6,0)</f>
        <v/>
      </c>
      <c r="J34" s="42">
        <f>IF(Returns!J20=1,I34-$F32*IF(AND(Returns!J20=1,Returns!J24=0),MIN(I33,Returns!$C$6*Returns!$C$11/4),0)/Returns!$C$6,0)</f>
        <v/>
      </c>
      <c r="K34" s="42">
        <f>IF(Returns!K20=1,J34-$F32*IF(AND(Returns!K20=1,Returns!K24=0),MIN(J33,Returns!$C$6*Returns!$C$11/4),0)/Returns!$C$6,0)</f>
        <v/>
      </c>
      <c r="L34" s="42">
        <f>IF(Returns!L20=1,K34-$F32*IF(AND(Returns!L20=1,Returns!L24=0),MIN(K33,Returns!$C$6*Returns!$C$11/4),0)/Returns!$C$6,0)</f>
        <v/>
      </c>
      <c r="M34" s="42">
        <f>IF(Returns!M20=1,L34-$F32*IF(AND(Returns!M20=1,Returns!M24=0),MIN(L33,Returns!$C$6*Returns!$C$11/4),0)/Returns!$C$6,0)</f>
        <v/>
      </c>
      <c r="N34" s="42">
        <f>IF(Returns!N20=1,M34-$F32*IF(AND(Returns!N20=1,Returns!N24=0),MIN(M33,Returns!$C$6*Returns!$C$11/4),0)/Returns!$C$6,0)</f>
        <v/>
      </c>
      <c r="O34" s="42">
        <f>IF(Returns!O20=1,N34-$F32*IF(AND(Returns!O20=1,Returns!O24=0),MIN(N33,Returns!$C$6*Returns!$C$11/4),0)/Returns!$C$6,0)</f>
        <v/>
      </c>
      <c r="P34" s="42">
        <f>IF(Returns!P20=1,O34-$F32*IF(AND(Returns!P20=1,Returns!P24=0),MIN(O33,Returns!$C$6*Returns!$C$11/4),0)/Returns!$C$6,0)</f>
        <v/>
      </c>
      <c r="Q34" s="42">
        <f>IF(Returns!Q20=1,P34-$F32*IF(AND(Returns!Q20=1,Returns!Q24=0),MIN(P33,Returns!$C$6*Returns!$C$11/4),0)/Returns!$C$6,0)</f>
        <v/>
      </c>
      <c r="R34" s="42">
        <f>IF(Returns!R20=1,Q34-$F32*IF(AND(Returns!R20=1,Returns!R24=0),MIN(Q33,Returns!$C$6*Returns!$C$11/4),0)/Returns!$C$6,0)</f>
        <v/>
      </c>
      <c r="S34" s="42">
        <f>IF(Returns!S20=1,R34-$F32*IF(AND(Returns!S20=1,Returns!S24=0),MIN(R33,Returns!$C$6*Returns!$C$11/4),0)/Returns!$C$6,0)</f>
        <v/>
      </c>
      <c r="T34" s="42">
        <f>IF(Returns!T20=1,S34-$F32*IF(AND(Returns!T20=1,Returns!T24=0),MIN(S33,Returns!$C$6*Returns!$C$11/4),0)/Returns!$C$6,0)</f>
        <v/>
      </c>
      <c r="U34" s="42">
        <f>IF(Returns!U20=1,T34-$F32*IF(AND(Returns!U20=1,Returns!U24=0),MIN(T33,Returns!$C$6*Returns!$C$11/4),0)/Returns!$C$6,0)</f>
        <v/>
      </c>
      <c r="V34" s="42">
        <f>IF(Returns!V20=1,U34-$F32*IF(AND(Returns!V20=1,Returns!V24=0),MIN(U33,Returns!$C$6*Returns!$C$11/4),0)/Returns!$C$6,0)</f>
        <v/>
      </c>
      <c r="W34" s="42">
        <f>IF(Returns!W20=1,V34-$F32*IF(AND(Returns!W20=1,Returns!W24=0),MIN(V33,Returns!$C$6*Returns!$C$11/4),0)/Returns!$C$6,0)</f>
        <v/>
      </c>
    </row>
    <row r="35" ht="15" customHeight="1" s="31">
      <c r="B35" s="35" t="inlineStr">
        <is>
          <t>Levered net cash flow</t>
        </is>
      </c>
      <c r="C35" s="42">
        <f>-Returns!$C$6*(1-Returns!$D$8)+$F32</f>
        <v/>
      </c>
      <c r="D35" s="42">
        <f>Returns!D20*(1-Returns!D24)*C33*(Returns!D22+$C32/10000)/4+IF(AND(Returns!D20=1,Returns!D24=0),MIN(C33,Returns!$C$6*Returns!$C$11/4),0)+Returns!D21*D33*Returns!$C$12/100-Returns!D20*C34*(Returns!D22+Returns!$I$8/10000)/4-$F32*IF(AND(Returns!D20=1,Returns!D24=0),MIN(C33,Returns!$C$6*Returns!$C$11/4),0)/Returns!$C$6-Returns!D21*D34</f>
        <v/>
      </c>
      <c r="E35" s="42">
        <f>Returns!E20*(1-Returns!E24)*D33*(Returns!E22+$C32/10000)/4+IF(AND(Returns!E20=1,Returns!E24=0),MIN(D33,Returns!$C$6*Returns!$C$11/4),0)+Returns!E21*E33*Returns!$C$12/100-Returns!E20*D34*(Returns!E22+Returns!$I$8/10000)/4-$F32*IF(AND(Returns!E20=1,Returns!E24=0),MIN(D33,Returns!$C$6*Returns!$C$11/4),0)/Returns!$C$6-Returns!E21*E34</f>
        <v/>
      </c>
      <c r="F35" s="42">
        <f>Returns!F20*(1-Returns!F24)*E33*(Returns!F22+$C32/10000)/4+IF(AND(Returns!F20=1,Returns!F24=0),MIN(E33,Returns!$C$6*Returns!$C$11/4),0)+Returns!F21*F33*Returns!$C$12/100-Returns!F20*E34*(Returns!F22+Returns!$I$8/10000)/4-$F32*IF(AND(Returns!F20=1,Returns!F24=0),MIN(E33,Returns!$C$6*Returns!$C$11/4),0)/Returns!$C$6-Returns!F21*F34</f>
        <v/>
      </c>
      <c r="G35" s="42">
        <f>Returns!G20*(1-Returns!G24)*F33*(Returns!G22+$C32/10000)/4+IF(AND(Returns!G20=1,Returns!G24=0),MIN(F33,Returns!$C$6*Returns!$C$11/4),0)+Returns!G21*G33*Returns!$C$12/100-Returns!G20*F34*(Returns!G22+Returns!$I$8/10000)/4-$F32*IF(AND(Returns!G20=1,Returns!G24=0),MIN(F33,Returns!$C$6*Returns!$C$11/4),0)/Returns!$C$6-Returns!G21*G34</f>
        <v/>
      </c>
      <c r="H35" s="42">
        <f>Returns!H20*(1-Returns!H24)*G33*(Returns!H22+$C32/10000)/4+IF(AND(Returns!H20=1,Returns!H24=0),MIN(G33,Returns!$C$6*Returns!$C$11/4),0)+Returns!H21*H33*Returns!$C$12/100-Returns!H20*G34*(Returns!H22+Returns!$I$8/10000)/4-$F32*IF(AND(Returns!H20=1,Returns!H24=0),MIN(G33,Returns!$C$6*Returns!$C$11/4),0)/Returns!$C$6-Returns!H21*H34</f>
        <v/>
      </c>
      <c r="I35" s="42">
        <f>Returns!I20*(1-Returns!I24)*H33*(Returns!I22+$C32/10000)/4+IF(AND(Returns!I20=1,Returns!I24=0),MIN(H33,Returns!$C$6*Returns!$C$11/4),0)+Returns!I21*I33*Returns!$C$12/100-Returns!I20*H34*(Returns!I22+Returns!$I$8/10000)/4-$F32*IF(AND(Returns!I20=1,Returns!I24=0),MIN(H33,Returns!$C$6*Returns!$C$11/4),0)/Returns!$C$6-Returns!I21*I34</f>
        <v/>
      </c>
      <c r="J35" s="42">
        <f>Returns!J20*(1-Returns!J24)*I33*(Returns!J22+$C32/10000)/4+IF(AND(Returns!J20=1,Returns!J24=0),MIN(I33,Returns!$C$6*Returns!$C$11/4),0)+Returns!J21*J33*Returns!$C$12/100-Returns!J20*I34*(Returns!J22+Returns!$I$8/10000)/4-$F32*IF(AND(Returns!J20=1,Returns!J24=0),MIN(I33,Returns!$C$6*Returns!$C$11/4),0)/Returns!$C$6-Returns!J21*J34</f>
        <v/>
      </c>
      <c r="K35" s="42">
        <f>Returns!K20*(1-Returns!K24)*J33*(Returns!K22+$C32/10000)/4+IF(AND(Returns!K20=1,Returns!K24=0),MIN(J33,Returns!$C$6*Returns!$C$11/4),0)+Returns!K21*K33*Returns!$C$12/100-Returns!K20*J34*(Returns!K22+Returns!$I$8/10000)/4-$F32*IF(AND(Returns!K20=1,Returns!K24=0),MIN(J33,Returns!$C$6*Returns!$C$11/4),0)/Returns!$C$6-Returns!K21*K34</f>
        <v/>
      </c>
      <c r="L35" s="42">
        <f>Returns!L20*(1-Returns!L24)*K33*(Returns!L22+$C32/10000)/4+IF(AND(Returns!L20=1,Returns!L24=0),MIN(K33,Returns!$C$6*Returns!$C$11/4),0)+Returns!L21*L33*Returns!$C$12/100-Returns!L20*K34*(Returns!L22+Returns!$I$8/10000)/4-$F32*IF(AND(Returns!L20=1,Returns!L24=0),MIN(K33,Returns!$C$6*Returns!$C$11/4),0)/Returns!$C$6-Returns!L21*L34</f>
        <v/>
      </c>
      <c r="M35" s="42">
        <f>Returns!M20*(1-Returns!M24)*L33*(Returns!M22+$C32/10000)/4+IF(AND(Returns!M20=1,Returns!M24=0),MIN(L33,Returns!$C$6*Returns!$C$11/4),0)+Returns!M21*M33*Returns!$C$12/100-Returns!M20*L34*(Returns!M22+Returns!$I$8/10000)/4-$F32*IF(AND(Returns!M20=1,Returns!M24=0),MIN(L33,Returns!$C$6*Returns!$C$11/4),0)/Returns!$C$6-Returns!M21*M34</f>
        <v/>
      </c>
      <c r="N35" s="42">
        <f>Returns!N20*(1-Returns!N24)*M33*(Returns!N22+$C32/10000)/4+IF(AND(Returns!N20=1,Returns!N24=0),MIN(M33,Returns!$C$6*Returns!$C$11/4),0)+Returns!N21*N33*Returns!$C$12/100-Returns!N20*M34*(Returns!N22+Returns!$I$8/10000)/4-$F32*IF(AND(Returns!N20=1,Returns!N24=0),MIN(M33,Returns!$C$6*Returns!$C$11/4),0)/Returns!$C$6-Returns!N21*N34</f>
        <v/>
      </c>
      <c r="O35" s="42">
        <f>Returns!O20*(1-Returns!O24)*N33*(Returns!O22+$C32/10000)/4+IF(AND(Returns!O20=1,Returns!O24=0),MIN(N33,Returns!$C$6*Returns!$C$11/4),0)+Returns!O21*O33*Returns!$C$12/100-Returns!O20*N34*(Returns!O22+Returns!$I$8/10000)/4-$F32*IF(AND(Returns!O20=1,Returns!O24=0),MIN(N33,Returns!$C$6*Returns!$C$11/4),0)/Returns!$C$6-Returns!O21*O34</f>
        <v/>
      </c>
      <c r="P35" s="42">
        <f>Returns!P20*(1-Returns!P24)*O33*(Returns!P22+$C32/10000)/4+IF(AND(Returns!P20=1,Returns!P24=0),MIN(O33,Returns!$C$6*Returns!$C$11/4),0)+Returns!P21*P33*Returns!$C$12/100-Returns!P20*O34*(Returns!P22+Returns!$I$8/10000)/4-$F32*IF(AND(Returns!P20=1,Returns!P24=0),MIN(O33,Returns!$C$6*Returns!$C$11/4),0)/Returns!$C$6-Returns!P21*P34</f>
        <v/>
      </c>
      <c r="Q35" s="42">
        <f>Returns!Q20*(1-Returns!Q24)*P33*(Returns!Q22+$C32/10000)/4+IF(AND(Returns!Q20=1,Returns!Q24=0),MIN(P33,Returns!$C$6*Returns!$C$11/4),0)+Returns!Q21*Q33*Returns!$C$12/100-Returns!Q20*P34*(Returns!Q22+Returns!$I$8/10000)/4-$F32*IF(AND(Returns!Q20=1,Returns!Q24=0),MIN(P33,Returns!$C$6*Returns!$C$11/4),0)/Returns!$C$6-Returns!Q21*Q34</f>
        <v/>
      </c>
      <c r="R35" s="42">
        <f>Returns!R20*(1-Returns!R24)*Q33*(Returns!R22+$C32/10000)/4+IF(AND(Returns!R20=1,Returns!R24=0),MIN(Q33,Returns!$C$6*Returns!$C$11/4),0)+Returns!R21*R33*Returns!$C$12/100-Returns!R20*Q34*(Returns!R22+Returns!$I$8/10000)/4-$F32*IF(AND(Returns!R20=1,Returns!R24=0),MIN(Q33,Returns!$C$6*Returns!$C$11/4),0)/Returns!$C$6-Returns!R21*R34</f>
        <v/>
      </c>
      <c r="S35" s="42">
        <f>Returns!S20*(1-Returns!S24)*R33*(Returns!S22+$C32/10000)/4+IF(AND(Returns!S20=1,Returns!S24=0),MIN(R33,Returns!$C$6*Returns!$C$11/4),0)+Returns!S21*S33*Returns!$C$12/100-Returns!S20*R34*(Returns!S22+Returns!$I$8/10000)/4-$F32*IF(AND(Returns!S20=1,Returns!S24=0),MIN(R33,Returns!$C$6*Returns!$C$11/4),0)/Returns!$C$6-Returns!S21*S34</f>
        <v/>
      </c>
      <c r="T35" s="42">
        <f>Returns!T20*(1-Returns!T24)*S33*(Returns!T22+$C32/10000)/4+IF(AND(Returns!T20=1,Returns!T24=0),MIN(S33,Returns!$C$6*Returns!$C$11/4),0)+Returns!T21*T33*Returns!$C$12/100-Returns!T20*S34*(Returns!T22+Returns!$I$8/10000)/4-$F32*IF(AND(Returns!T20=1,Returns!T24=0),MIN(S33,Returns!$C$6*Returns!$C$11/4),0)/Returns!$C$6-Returns!T21*T34</f>
        <v/>
      </c>
      <c r="U35" s="42">
        <f>Returns!U20*(1-Returns!U24)*T33*(Returns!U22+$C32/10000)/4+IF(AND(Returns!U20=1,Returns!U24=0),MIN(T33,Returns!$C$6*Returns!$C$11/4),0)+Returns!U21*U33*Returns!$C$12/100-Returns!U20*T34*(Returns!U22+Returns!$I$8/10000)/4-$F32*IF(AND(Returns!U20=1,Returns!U24=0),MIN(T33,Returns!$C$6*Returns!$C$11/4),0)/Returns!$C$6-Returns!U21*U34</f>
        <v/>
      </c>
      <c r="V35" s="42">
        <f>Returns!V20*(1-Returns!V24)*U33*(Returns!V22+$C32/10000)/4+IF(AND(Returns!V20=1,Returns!V24=0),MIN(U33,Returns!$C$6*Returns!$C$11/4),0)+Returns!V21*V33*Returns!$C$12/100-Returns!V20*U34*(Returns!V22+Returns!$I$8/10000)/4-$F32*IF(AND(Returns!V20=1,Returns!V24=0),MIN(U33,Returns!$C$6*Returns!$C$11/4),0)/Returns!$C$6-Returns!V21*V34</f>
        <v/>
      </c>
      <c r="W35" s="42">
        <f>Returns!W20*(1-Returns!W24)*V33*(Returns!W22+$C32/10000)/4+IF(AND(Returns!W20=1,Returns!W24=0),MIN(V33,Returns!$C$6*Returns!$C$11/4),0)+Returns!W21*W33*Returns!$C$12/100-Returns!W20*V34*(Returns!W22+Returns!$I$8/10000)/4-$F32*IF(AND(Returns!W20=1,Returns!W24=0),MIN(V33,Returns!$C$6*Returns!$C$11/4),0)/Returns!$C$6-Returns!W21*W34</f>
        <v/>
      </c>
    </row>
    <row r="37" ht="15" customHeight="1" s="31">
      <c r="B37" s="34" t="inlineStr">
        <is>
          <t>Spread offset +0 bps, leverage 0.75x — parameters (spread, leverage, advance rate, financing at close)</t>
        </is>
      </c>
      <c r="C37" s="45">
        <f>Returns!$C$7+(0)</f>
        <v/>
      </c>
      <c r="D37" s="59" t="n">
        <v>0.75</v>
      </c>
      <c r="E37" s="60">
        <f>D37/(1+D37)</f>
        <v/>
      </c>
      <c r="F37" s="42">
        <f>Returns!$C$6*(1-Returns!$D$8)*E37</f>
        <v/>
      </c>
    </row>
    <row r="38" ht="15" customHeight="1" s="31">
      <c r="B38" s="35" t="inlineStr">
        <is>
          <t>Loan ending balance (before exit payoff)</t>
        </is>
      </c>
      <c r="C38" s="42">
        <f>Returns!$C$6</f>
        <v/>
      </c>
      <c r="D38" s="42">
        <f>IF(Returns!D20=1,C38+Returns!D24*C38*(Returns!D22+$C37/10000)/4-IF(AND(Returns!D20=1,Returns!D24=0),MIN(C38,Returns!$C$6*Returns!$C$11/4),0),0)</f>
        <v/>
      </c>
      <c r="E38" s="42">
        <f>IF(Returns!E20=1,D38+Returns!E24*D38*(Returns!E22+$C37/10000)/4-IF(AND(Returns!E20=1,Returns!E24=0),MIN(D38,Returns!$C$6*Returns!$C$11/4),0),0)</f>
        <v/>
      </c>
      <c r="F38" s="42">
        <f>IF(Returns!F20=1,E38+Returns!F24*E38*(Returns!F22+$C37/10000)/4-IF(AND(Returns!F20=1,Returns!F24=0),MIN(E38,Returns!$C$6*Returns!$C$11/4),0),0)</f>
        <v/>
      </c>
      <c r="G38" s="42">
        <f>IF(Returns!G20=1,F38+Returns!G24*F38*(Returns!G22+$C37/10000)/4-IF(AND(Returns!G20=1,Returns!G24=0),MIN(F38,Returns!$C$6*Returns!$C$11/4),0),0)</f>
        <v/>
      </c>
      <c r="H38" s="42">
        <f>IF(Returns!H20=1,G38+Returns!H24*G38*(Returns!H22+$C37/10000)/4-IF(AND(Returns!H20=1,Returns!H24=0),MIN(G38,Returns!$C$6*Returns!$C$11/4),0),0)</f>
        <v/>
      </c>
      <c r="I38" s="42">
        <f>IF(Returns!I20=1,H38+Returns!I24*H38*(Returns!I22+$C37/10000)/4-IF(AND(Returns!I20=1,Returns!I24=0),MIN(H38,Returns!$C$6*Returns!$C$11/4),0),0)</f>
        <v/>
      </c>
      <c r="J38" s="42">
        <f>IF(Returns!J20=1,I38+Returns!J24*I38*(Returns!J22+$C37/10000)/4-IF(AND(Returns!J20=1,Returns!J24=0),MIN(I38,Returns!$C$6*Returns!$C$11/4),0),0)</f>
        <v/>
      </c>
      <c r="K38" s="42">
        <f>IF(Returns!K20=1,J38+Returns!K24*J38*(Returns!K22+$C37/10000)/4-IF(AND(Returns!K20=1,Returns!K24=0),MIN(J38,Returns!$C$6*Returns!$C$11/4),0),0)</f>
        <v/>
      </c>
      <c r="L38" s="42">
        <f>IF(Returns!L20=1,K38+Returns!L24*K38*(Returns!L22+$C37/10000)/4-IF(AND(Returns!L20=1,Returns!L24=0),MIN(K38,Returns!$C$6*Returns!$C$11/4),0),0)</f>
        <v/>
      </c>
      <c r="M38" s="42">
        <f>IF(Returns!M20=1,L38+Returns!M24*L38*(Returns!M22+$C37/10000)/4-IF(AND(Returns!M20=1,Returns!M24=0),MIN(L38,Returns!$C$6*Returns!$C$11/4),0),0)</f>
        <v/>
      </c>
      <c r="N38" s="42">
        <f>IF(Returns!N20=1,M38+Returns!N24*M38*(Returns!N22+$C37/10000)/4-IF(AND(Returns!N20=1,Returns!N24=0),MIN(M38,Returns!$C$6*Returns!$C$11/4),0),0)</f>
        <v/>
      </c>
      <c r="O38" s="42">
        <f>IF(Returns!O20=1,N38+Returns!O24*N38*(Returns!O22+$C37/10000)/4-IF(AND(Returns!O20=1,Returns!O24=0),MIN(N38,Returns!$C$6*Returns!$C$11/4),0),0)</f>
        <v/>
      </c>
      <c r="P38" s="42">
        <f>IF(Returns!P20=1,O38+Returns!P24*O38*(Returns!P22+$C37/10000)/4-IF(AND(Returns!P20=1,Returns!P24=0),MIN(O38,Returns!$C$6*Returns!$C$11/4),0),0)</f>
        <v/>
      </c>
      <c r="Q38" s="42">
        <f>IF(Returns!Q20=1,P38+Returns!Q24*P38*(Returns!Q22+$C37/10000)/4-IF(AND(Returns!Q20=1,Returns!Q24=0),MIN(P38,Returns!$C$6*Returns!$C$11/4),0),0)</f>
        <v/>
      </c>
      <c r="R38" s="42">
        <f>IF(Returns!R20=1,Q38+Returns!R24*Q38*(Returns!R22+$C37/10000)/4-IF(AND(Returns!R20=1,Returns!R24=0),MIN(Q38,Returns!$C$6*Returns!$C$11/4),0),0)</f>
        <v/>
      </c>
      <c r="S38" s="42">
        <f>IF(Returns!S20=1,R38+Returns!S24*R38*(Returns!S22+$C37/10000)/4-IF(AND(Returns!S20=1,Returns!S24=0),MIN(R38,Returns!$C$6*Returns!$C$11/4),0),0)</f>
        <v/>
      </c>
      <c r="T38" s="42">
        <f>IF(Returns!T20=1,S38+Returns!T24*S38*(Returns!T22+$C37/10000)/4-IF(AND(Returns!T20=1,Returns!T24=0),MIN(S38,Returns!$C$6*Returns!$C$11/4),0),0)</f>
        <v/>
      </c>
      <c r="U38" s="42">
        <f>IF(Returns!U20=1,T38+Returns!U24*T38*(Returns!U22+$C37/10000)/4-IF(AND(Returns!U20=1,Returns!U24=0),MIN(T38,Returns!$C$6*Returns!$C$11/4),0),0)</f>
        <v/>
      </c>
      <c r="V38" s="42">
        <f>IF(Returns!V20=1,U38+Returns!V24*U38*(Returns!V22+$C37/10000)/4-IF(AND(Returns!V20=1,Returns!V24=0),MIN(U38,Returns!$C$6*Returns!$C$11/4),0),0)</f>
        <v/>
      </c>
      <c r="W38" s="42">
        <f>IF(Returns!W20=1,V38+Returns!W24*V38*(Returns!W22+$C37/10000)/4-IF(AND(Returns!W20=1,Returns!W24=0),MIN(V38,Returns!$C$6*Returns!$C$11/4),0),0)</f>
        <v/>
      </c>
    </row>
    <row r="39" ht="15" customHeight="1" s="31">
      <c r="B39" s="35" t="inlineStr">
        <is>
          <t>Financing line ending balance (before exit payoff)</t>
        </is>
      </c>
      <c r="C39" s="42">
        <f>$F37</f>
        <v/>
      </c>
      <c r="D39" s="42">
        <f>IF(Returns!D20=1,C39-$F37*IF(AND(Returns!D20=1,Returns!D24=0),MIN(C38,Returns!$C$6*Returns!$C$11/4),0)/Returns!$C$6,0)</f>
        <v/>
      </c>
      <c r="E39" s="42">
        <f>IF(Returns!E20=1,D39-$F37*IF(AND(Returns!E20=1,Returns!E24=0),MIN(D38,Returns!$C$6*Returns!$C$11/4),0)/Returns!$C$6,0)</f>
        <v/>
      </c>
      <c r="F39" s="42">
        <f>IF(Returns!F20=1,E39-$F37*IF(AND(Returns!F20=1,Returns!F24=0),MIN(E38,Returns!$C$6*Returns!$C$11/4),0)/Returns!$C$6,0)</f>
        <v/>
      </c>
      <c r="G39" s="42">
        <f>IF(Returns!G20=1,F39-$F37*IF(AND(Returns!G20=1,Returns!G24=0),MIN(F38,Returns!$C$6*Returns!$C$11/4),0)/Returns!$C$6,0)</f>
        <v/>
      </c>
      <c r="H39" s="42">
        <f>IF(Returns!H20=1,G39-$F37*IF(AND(Returns!H20=1,Returns!H24=0),MIN(G38,Returns!$C$6*Returns!$C$11/4),0)/Returns!$C$6,0)</f>
        <v/>
      </c>
      <c r="I39" s="42">
        <f>IF(Returns!I20=1,H39-$F37*IF(AND(Returns!I20=1,Returns!I24=0),MIN(H38,Returns!$C$6*Returns!$C$11/4),0)/Returns!$C$6,0)</f>
        <v/>
      </c>
      <c r="J39" s="42">
        <f>IF(Returns!J20=1,I39-$F37*IF(AND(Returns!J20=1,Returns!J24=0),MIN(I38,Returns!$C$6*Returns!$C$11/4),0)/Returns!$C$6,0)</f>
        <v/>
      </c>
      <c r="K39" s="42">
        <f>IF(Returns!K20=1,J39-$F37*IF(AND(Returns!K20=1,Returns!K24=0),MIN(J38,Returns!$C$6*Returns!$C$11/4),0)/Returns!$C$6,0)</f>
        <v/>
      </c>
      <c r="L39" s="42">
        <f>IF(Returns!L20=1,K39-$F37*IF(AND(Returns!L20=1,Returns!L24=0),MIN(K38,Returns!$C$6*Returns!$C$11/4),0)/Returns!$C$6,0)</f>
        <v/>
      </c>
      <c r="M39" s="42">
        <f>IF(Returns!M20=1,L39-$F37*IF(AND(Returns!M20=1,Returns!M24=0),MIN(L38,Returns!$C$6*Returns!$C$11/4),0)/Returns!$C$6,0)</f>
        <v/>
      </c>
      <c r="N39" s="42">
        <f>IF(Returns!N20=1,M39-$F37*IF(AND(Returns!N20=1,Returns!N24=0),MIN(M38,Returns!$C$6*Returns!$C$11/4),0)/Returns!$C$6,0)</f>
        <v/>
      </c>
      <c r="O39" s="42">
        <f>IF(Returns!O20=1,N39-$F37*IF(AND(Returns!O20=1,Returns!O24=0),MIN(N38,Returns!$C$6*Returns!$C$11/4),0)/Returns!$C$6,0)</f>
        <v/>
      </c>
      <c r="P39" s="42">
        <f>IF(Returns!P20=1,O39-$F37*IF(AND(Returns!P20=1,Returns!P24=0),MIN(O38,Returns!$C$6*Returns!$C$11/4),0)/Returns!$C$6,0)</f>
        <v/>
      </c>
      <c r="Q39" s="42">
        <f>IF(Returns!Q20=1,P39-$F37*IF(AND(Returns!Q20=1,Returns!Q24=0),MIN(P38,Returns!$C$6*Returns!$C$11/4),0)/Returns!$C$6,0)</f>
        <v/>
      </c>
      <c r="R39" s="42">
        <f>IF(Returns!R20=1,Q39-$F37*IF(AND(Returns!R20=1,Returns!R24=0),MIN(Q38,Returns!$C$6*Returns!$C$11/4),0)/Returns!$C$6,0)</f>
        <v/>
      </c>
      <c r="S39" s="42">
        <f>IF(Returns!S20=1,R39-$F37*IF(AND(Returns!S20=1,Returns!S24=0),MIN(R38,Returns!$C$6*Returns!$C$11/4),0)/Returns!$C$6,0)</f>
        <v/>
      </c>
      <c r="T39" s="42">
        <f>IF(Returns!T20=1,S39-$F37*IF(AND(Returns!T20=1,Returns!T24=0),MIN(S38,Returns!$C$6*Returns!$C$11/4),0)/Returns!$C$6,0)</f>
        <v/>
      </c>
      <c r="U39" s="42">
        <f>IF(Returns!U20=1,T39-$F37*IF(AND(Returns!U20=1,Returns!U24=0),MIN(T38,Returns!$C$6*Returns!$C$11/4),0)/Returns!$C$6,0)</f>
        <v/>
      </c>
      <c r="V39" s="42">
        <f>IF(Returns!V20=1,U39-$F37*IF(AND(Returns!V20=1,Returns!V24=0),MIN(U38,Returns!$C$6*Returns!$C$11/4),0)/Returns!$C$6,0)</f>
        <v/>
      </c>
      <c r="W39" s="42">
        <f>IF(Returns!W20=1,V39-$F37*IF(AND(Returns!W20=1,Returns!W24=0),MIN(V38,Returns!$C$6*Returns!$C$11/4),0)/Returns!$C$6,0)</f>
        <v/>
      </c>
    </row>
    <row r="40" ht="15" customHeight="1" s="31">
      <c r="B40" s="35" t="inlineStr">
        <is>
          <t>Levered net cash flow</t>
        </is>
      </c>
      <c r="C40" s="42">
        <f>-Returns!$C$6*(1-Returns!$D$8)+$F37</f>
        <v/>
      </c>
      <c r="D40" s="42">
        <f>Returns!D20*(1-Returns!D24)*C38*(Returns!D22+$C37/10000)/4+IF(AND(Returns!D20=1,Returns!D24=0),MIN(C38,Returns!$C$6*Returns!$C$11/4),0)+Returns!D21*D38*Returns!$C$12/100-Returns!D20*C39*(Returns!D22+Returns!$I$8/10000)/4-$F37*IF(AND(Returns!D20=1,Returns!D24=0),MIN(C38,Returns!$C$6*Returns!$C$11/4),0)/Returns!$C$6-Returns!D21*D39</f>
        <v/>
      </c>
      <c r="E40" s="42">
        <f>Returns!E20*(1-Returns!E24)*D38*(Returns!E22+$C37/10000)/4+IF(AND(Returns!E20=1,Returns!E24=0),MIN(D38,Returns!$C$6*Returns!$C$11/4),0)+Returns!E21*E38*Returns!$C$12/100-Returns!E20*D39*(Returns!E22+Returns!$I$8/10000)/4-$F37*IF(AND(Returns!E20=1,Returns!E24=0),MIN(D38,Returns!$C$6*Returns!$C$11/4),0)/Returns!$C$6-Returns!E21*E39</f>
        <v/>
      </c>
      <c r="F40" s="42">
        <f>Returns!F20*(1-Returns!F24)*E38*(Returns!F22+$C37/10000)/4+IF(AND(Returns!F20=1,Returns!F24=0),MIN(E38,Returns!$C$6*Returns!$C$11/4),0)+Returns!F21*F38*Returns!$C$12/100-Returns!F20*E39*(Returns!F22+Returns!$I$8/10000)/4-$F37*IF(AND(Returns!F20=1,Returns!F24=0),MIN(E38,Returns!$C$6*Returns!$C$11/4),0)/Returns!$C$6-Returns!F21*F39</f>
        <v/>
      </c>
      <c r="G40" s="42">
        <f>Returns!G20*(1-Returns!G24)*F38*(Returns!G22+$C37/10000)/4+IF(AND(Returns!G20=1,Returns!G24=0),MIN(F38,Returns!$C$6*Returns!$C$11/4),0)+Returns!G21*G38*Returns!$C$12/100-Returns!G20*F39*(Returns!G22+Returns!$I$8/10000)/4-$F37*IF(AND(Returns!G20=1,Returns!G24=0),MIN(F38,Returns!$C$6*Returns!$C$11/4),0)/Returns!$C$6-Returns!G21*G39</f>
        <v/>
      </c>
      <c r="H40" s="42">
        <f>Returns!H20*(1-Returns!H24)*G38*(Returns!H22+$C37/10000)/4+IF(AND(Returns!H20=1,Returns!H24=0),MIN(G38,Returns!$C$6*Returns!$C$11/4),0)+Returns!H21*H38*Returns!$C$12/100-Returns!H20*G39*(Returns!H22+Returns!$I$8/10000)/4-$F37*IF(AND(Returns!H20=1,Returns!H24=0),MIN(G38,Returns!$C$6*Returns!$C$11/4),0)/Returns!$C$6-Returns!H21*H39</f>
        <v/>
      </c>
      <c r="I40" s="42">
        <f>Returns!I20*(1-Returns!I24)*H38*(Returns!I22+$C37/10000)/4+IF(AND(Returns!I20=1,Returns!I24=0),MIN(H38,Returns!$C$6*Returns!$C$11/4),0)+Returns!I21*I38*Returns!$C$12/100-Returns!I20*H39*(Returns!I22+Returns!$I$8/10000)/4-$F37*IF(AND(Returns!I20=1,Returns!I24=0),MIN(H38,Returns!$C$6*Returns!$C$11/4),0)/Returns!$C$6-Returns!I21*I39</f>
        <v/>
      </c>
      <c r="J40" s="42">
        <f>Returns!J20*(1-Returns!J24)*I38*(Returns!J22+$C37/10000)/4+IF(AND(Returns!J20=1,Returns!J24=0),MIN(I38,Returns!$C$6*Returns!$C$11/4),0)+Returns!J21*J38*Returns!$C$12/100-Returns!J20*I39*(Returns!J22+Returns!$I$8/10000)/4-$F37*IF(AND(Returns!J20=1,Returns!J24=0),MIN(I38,Returns!$C$6*Returns!$C$11/4),0)/Returns!$C$6-Returns!J21*J39</f>
        <v/>
      </c>
      <c r="K40" s="42">
        <f>Returns!K20*(1-Returns!K24)*J38*(Returns!K22+$C37/10000)/4+IF(AND(Returns!K20=1,Returns!K24=0),MIN(J38,Returns!$C$6*Returns!$C$11/4),0)+Returns!K21*K38*Returns!$C$12/100-Returns!K20*J39*(Returns!K22+Returns!$I$8/10000)/4-$F37*IF(AND(Returns!K20=1,Returns!K24=0),MIN(J38,Returns!$C$6*Returns!$C$11/4),0)/Returns!$C$6-Returns!K21*K39</f>
        <v/>
      </c>
      <c r="L40" s="42">
        <f>Returns!L20*(1-Returns!L24)*K38*(Returns!L22+$C37/10000)/4+IF(AND(Returns!L20=1,Returns!L24=0),MIN(K38,Returns!$C$6*Returns!$C$11/4),0)+Returns!L21*L38*Returns!$C$12/100-Returns!L20*K39*(Returns!L22+Returns!$I$8/10000)/4-$F37*IF(AND(Returns!L20=1,Returns!L24=0),MIN(K38,Returns!$C$6*Returns!$C$11/4),0)/Returns!$C$6-Returns!L21*L39</f>
        <v/>
      </c>
      <c r="M40" s="42">
        <f>Returns!M20*(1-Returns!M24)*L38*(Returns!M22+$C37/10000)/4+IF(AND(Returns!M20=1,Returns!M24=0),MIN(L38,Returns!$C$6*Returns!$C$11/4),0)+Returns!M21*M38*Returns!$C$12/100-Returns!M20*L39*(Returns!M22+Returns!$I$8/10000)/4-$F37*IF(AND(Returns!M20=1,Returns!M24=0),MIN(L38,Returns!$C$6*Returns!$C$11/4),0)/Returns!$C$6-Returns!M21*M39</f>
        <v/>
      </c>
      <c r="N40" s="42">
        <f>Returns!N20*(1-Returns!N24)*M38*(Returns!N22+$C37/10000)/4+IF(AND(Returns!N20=1,Returns!N24=0),MIN(M38,Returns!$C$6*Returns!$C$11/4),0)+Returns!N21*N38*Returns!$C$12/100-Returns!N20*M39*(Returns!N22+Returns!$I$8/10000)/4-$F37*IF(AND(Returns!N20=1,Returns!N24=0),MIN(M38,Returns!$C$6*Returns!$C$11/4),0)/Returns!$C$6-Returns!N21*N39</f>
        <v/>
      </c>
      <c r="O40" s="42">
        <f>Returns!O20*(1-Returns!O24)*N38*(Returns!O22+$C37/10000)/4+IF(AND(Returns!O20=1,Returns!O24=0),MIN(N38,Returns!$C$6*Returns!$C$11/4),0)+Returns!O21*O38*Returns!$C$12/100-Returns!O20*N39*(Returns!O22+Returns!$I$8/10000)/4-$F37*IF(AND(Returns!O20=1,Returns!O24=0),MIN(N38,Returns!$C$6*Returns!$C$11/4),0)/Returns!$C$6-Returns!O21*O39</f>
        <v/>
      </c>
      <c r="P40" s="42">
        <f>Returns!P20*(1-Returns!P24)*O38*(Returns!P22+$C37/10000)/4+IF(AND(Returns!P20=1,Returns!P24=0),MIN(O38,Returns!$C$6*Returns!$C$11/4),0)+Returns!P21*P38*Returns!$C$12/100-Returns!P20*O39*(Returns!P22+Returns!$I$8/10000)/4-$F37*IF(AND(Returns!P20=1,Returns!P24=0),MIN(O38,Returns!$C$6*Returns!$C$11/4),0)/Returns!$C$6-Returns!P21*P39</f>
        <v/>
      </c>
      <c r="Q40" s="42">
        <f>Returns!Q20*(1-Returns!Q24)*P38*(Returns!Q22+$C37/10000)/4+IF(AND(Returns!Q20=1,Returns!Q24=0),MIN(P38,Returns!$C$6*Returns!$C$11/4),0)+Returns!Q21*Q38*Returns!$C$12/100-Returns!Q20*P39*(Returns!Q22+Returns!$I$8/10000)/4-$F37*IF(AND(Returns!Q20=1,Returns!Q24=0),MIN(P38,Returns!$C$6*Returns!$C$11/4),0)/Returns!$C$6-Returns!Q21*Q39</f>
        <v/>
      </c>
      <c r="R40" s="42">
        <f>Returns!R20*(1-Returns!R24)*Q38*(Returns!R22+$C37/10000)/4+IF(AND(Returns!R20=1,Returns!R24=0),MIN(Q38,Returns!$C$6*Returns!$C$11/4),0)+Returns!R21*R38*Returns!$C$12/100-Returns!R20*Q39*(Returns!R22+Returns!$I$8/10000)/4-$F37*IF(AND(Returns!R20=1,Returns!R24=0),MIN(Q38,Returns!$C$6*Returns!$C$11/4),0)/Returns!$C$6-Returns!R21*R39</f>
        <v/>
      </c>
      <c r="S40" s="42">
        <f>Returns!S20*(1-Returns!S24)*R38*(Returns!S22+$C37/10000)/4+IF(AND(Returns!S20=1,Returns!S24=0),MIN(R38,Returns!$C$6*Returns!$C$11/4),0)+Returns!S21*S38*Returns!$C$12/100-Returns!S20*R39*(Returns!S22+Returns!$I$8/10000)/4-$F37*IF(AND(Returns!S20=1,Returns!S24=0),MIN(R38,Returns!$C$6*Returns!$C$11/4),0)/Returns!$C$6-Returns!S21*S39</f>
        <v/>
      </c>
      <c r="T40" s="42">
        <f>Returns!T20*(1-Returns!T24)*S38*(Returns!T22+$C37/10000)/4+IF(AND(Returns!T20=1,Returns!T24=0),MIN(S38,Returns!$C$6*Returns!$C$11/4),0)+Returns!T21*T38*Returns!$C$12/100-Returns!T20*S39*(Returns!T22+Returns!$I$8/10000)/4-$F37*IF(AND(Returns!T20=1,Returns!T24=0),MIN(S38,Returns!$C$6*Returns!$C$11/4),0)/Returns!$C$6-Returns!T21*T39</f>
        <v/>
      </c>
      <c r="U40" s="42">
        <f>Returns!U20*(1-Returns!U24)*T38*(Returns!U22+$C37/10000)/4+IF(AND(Returns!U20=1,Returns!U24=0),MIN(T38,Returns!$C$6*Returns!$C$11/4),0)+Returns!U21*U38*Returns!$C$12/100-Returns!U20*T39*(Returns!U22+Returns!$I$8/10000)/4-$F37*IF(AND(Returns!U20=1,Returns!U24=0),MIN(T38,Returns!$C$6*Returns!$C$11/4),0)/Returns!$C$6-Returns!U21*U39</f>
        <v/>
      </c>
      <c r="V40" s="42">
        <f>Returns!V20*(1-Returns!V24)*U38*(Returns!V22+$C37/10000)/4+IF(AND(Returns!V20=1,Returns!V24=0),MIN(U38,Returns!$C$6*Returns!$C$11/4),0)+Returns!V21*V38*Returns!$C$12/100-Returns!V20*U39*(Returns!V22+Returns!$I$8/10000)/4-$F37*IF(AND(Returns!V20=1,Returns!V24=0),MIN(U38,Returns!$C$6*Returns!$C$11/4),0)/Returns!$C$6-Returns!V21*V39</f>
        <v/>
      </c>
      <c r="W40" s="42">
        <f>Returns!W20*(1-Returns!W24)*V38*(Returns!W22+$C37/10000)/4+IF(AND(Returns!W20=1,Returns!W24=0),MIN(V38,Returns!$C$6*Returns!$C$11/4),0)+Returns!W21*W38*Returns!$C$12/100-Returns!W20*V39*(Returns!W22+Returns!$I$8/10000)/4-$F37*IF(AND(Returns!W20=1,Returns!W24=0),MIN(V38,Returns!$C$6*Returns!$C$11/4),0)/Returns!$C$6-Returns!W21*W39</f>
        <v/>
      </c>
    </row>
    <row r="42" ht="15" customHeight="1" s="31">
      <c r="B42" s="34" t="inlineStr">
        <is>
          <t>Spread offset +0 bps, leverage 1.00x — parameters (spread, leverage, advance rate, financing at close)</t>
        </is>
      </c>
      <c r="C42" s="45">
        <f>Returns!$C$7+(0)</f>
        <v/>
      </c>
      <c r="D42" s="59" t="n">
        <v>1</v>
      </c>
      <c r="E42" s="60">
        <f>D42/(1+D42)</f>
        <v/>
      </c>
      <c r="F42" s="42">
        <f>Returns!$C$6*(1-Returns!$D$8)*E42</f>
        <v/>
      </c>
    </row>
    <row r="43" ht="15" customHeight="1" s="31">
      <c r="B43" s="35" t="inlineStr">
        <is>
          <t>Loan ending balance (before exit payoff)</t>
        </is>
      </c>
      <c r="C43" s="42">
        <f>Returns!$C$6</f>
        <v/>
      </c>
      <c r="D43" s="42">
        <f>IF(Returns!D20=1,C43+Returns!D24*C43*(Returns!D22+$C42/10000)/4-IF(AND(Returns!D20=1,Returns!D24=0),MIN(C43,Returns!$C$6*Returns!$C$11/4),0),0)</f>
        <v/>
      </c>
      <c r="E43" s="42">
        <f>IF(Returns!E20=1,D43+Returns!E24*D43*(Returns!E22+$C42/10000)/4-IF(AND(Returns!E20=1,Returns!E24=0),MIN(D43,Returns!$C$6*Returns!$C$11/4),0),0)</f>
        <v/>
      </c>
      <c r="F43" s="42">
        <f>IF(Returns!F20=1,E43+Returns!F24*E43*(Returns!F22+$C42/10000)/4-IF(AND(Returns!F20=1,Returns!F24=0),MIN(E43,Returns!$C$6*Returns!$C$11/4),0),0)</f>
        <v/>
      </c>
      <c r="G43" s="42">
        <f>IF(Returns!G20=1,F43+Returns!G24*F43*(Returns!G22+$C42/10000)/4-IF(AND(Returns!G20=1,Returns!G24=0),MIN(F43,Returns!$C$6*Returns!$C$11/4),0),0)</f>
        <v/>
      </c>
      <c r="H43" s="42">
        <f>IF(Returns!H20=1,G43+Returns!H24*G43*(Returns!H22+$C42/10000)/4-IF(AND(Returns!H20=1,Returns!H24=0),MIN(G43,Returns!$C$6*Returns!$C$11/4),0),0)</f>
        <v/>
      </c>
      <c r="I43" s="42">
        <f>IF(Returns!I20=1,H43+Returns!I24*H43*(Returns!I22+$C42/10000)/4-IF(AND(Returns!I20=1,Returns!I24=0),MIN(H43,Returns!$C$6*Returns!$C$11/4),0),0)</f>
        <v/>
      </c>
      <c r="J43" s="42">
        <f>IF(Returns!J20=1,I43+Returns!J24*I43*(Returns!J22+$C42/10000)/4-IF(AND(Returns!J20=1,Returns!J24=0),MIN(I43,Returns!$C$6*Returns!$C$11/4),0),0)</f>
        <v/>
      </c>
      <c r="K43" s="42">
        <f>IF(Returns!K20=1,J43+Returns!K24*J43*(Returns!K22+$C42/10000)/4-IF(AND(Returns!K20=1,Returns!K24=0),MIN(J43,Returns!$C$6*Returns!$C$11/4),0),0)</f>
        <v/>
      </c>
      <c r="L43" s="42">
        <f>IF(Returns!L20=1,K43+Returns!L24*K43*(Returns!L22+$C42/10000)/4-IF(AND(Returns!L20=1,Returns!L24=0),MIN(K43,Returns!$C$6*Returns!$C$11/4),0),0)</f>
        <v/>
      </c>
      <c r="M43" s="42">
        <f>IF(Returns!M20=1,L43+Returns!M24*L43*(Returns!M22+$C42/10000)/4-IF(AND(Returns!M20=1,Returns!M24=0),MIN(L43,Returns!$C$6*Returns!$C$11/4),0),0)</f>
        <v/>
      </c>
      <c r="N43" s="42">
        <f>IF(Returns!N20=1,M43+Returns!N24*M43*(Returns!N22+$C42/10000)/4-IF(AND(Returns!N20=1,Returns!N24=0),MIN(M43,Returns!$C$6*Returns!$C$11/4),0),0)</f>
        <v/>
      </c>
      <c r="O43" s="42">
        <f>IF(Returns!O20=1,N43+Returns!O24*N43*(Returns!O22+$C42/10000)/4-IF(AND(Returns!O20=1,Returns!O24=0),MIN(N43,Returns!$C$6*Returns!$C$11/4),0),0)</f>
        <v/>
      </c>
      <c r="P43" s="42">
        <f>IF(Returns!P20=1,O43+Returns!P24*O43*(Returns!P22+$C42/10000)/4-IF(AND(Returns!P20=1,Returns!P24=0),MIN(O43,Returns!$C$6*Returns!$C$11/4),0),0)</f>
        <v/>
      </c>
      <c r="Q43" s="42">
        <f>IF(Returns!Q20=1,P43+Returns!Q24*P43*(Returns!Q22+$C42/10000)/4-IF(AND(Returns!Q20=1,Returns!Q24=0),MIN(P43,Returns!$C$6*Returns!$C$11/4),0),0)</f>
        <v/>
      </c>
      <c r="R43" s="42">
        <f>IF(Returns!R20=1,Q43+Returns!R24*Q43*(Returns!R22+$C42/10000)/4-IF(AND(Returns!R20=1,Returns!R24=0),MIN(Q43,Returns!$C$6*Returns!$C$11/4),0),0)</f>
        <v/>
      </c>
      <c r="S43" s="42">
        <f>IF(Returns!S20=1,R43+Returns!S24*R43*(Returns!S22+$C42/10000)/4-IF(AND(Returns!S20=1,Returns!S24=0),MIN(R43,Returns!$C$6*Returns!$C$11/4),0),0)</f>
        <v/>
      </c>
      <c r="T43" s="42">
        <f>IF(Returns!T20=1,S43+Returns!T24*S43*(Returns!T22+$C42/10000)/4-IF(AND(Returns!T20=1,Returns!T24=0),MIN(S43,Returns!$C$6*Returns!$C$11/4),0),0)</f>
        <v/>
      </c>
      <c r="U43" s="42">
        <f>IF(Returns!U20=1,T43+Returns!U24*T43*(Returns!U22+$C42/10000)/4-IF(AND(Returns!U20=1,Returns!U24=0),MIN(T43,Returns!$C$6*Returns!$C$11/4),0),0)</f>
        <v/>
      </c>
      <c r="V43" s="42">
        <f>IF(Returns!V20=1,U43+Returns!V24*U43*(Returns!V22+$C42/10000)/4-IF(AND(Returns!V20=1,Returns!V24=0),MIN(U43,Returns!$C$6*Returns!$C$11/4),0),0)</f>
        <v/>
      </c>
      <c r="W43" s="42">
        <f>IF(Returns!W20=1,V43+Returns!W24*V43*(Returns!W22+$C42/10000)/4-IF(AND(Returns!W20=1,Returns!W24=0),MIN(V43,Returns!$C$6*Returns!$C$11/4),0),0)</f>
        <v/>
      </c>
    </row>
    <row r="44" ht="15" customHeight="1" s="31">
      <c r="B44" s="35" t="inlineStr">
        <is>
          <t>Financing line ending balance (before exit payoff)</t>
        </is>
      </c>
      <c r="C44" s="42">
        <f>$F42</f>
        <v/>
      </c>
      <c r="D44" s="42">
        <f>IF(Returns!D20=1,C44-$F42*IF(AND(Returns!D20=1,Returns!D24=0),MIN(C43,Returns!$C$6*Returns!$C$11/4),0)/Returns!$C$6,0)</f>
        <v/>
      </c>
      <c r="E44" s="42">
        <f>IF(Returns!E20=1,D44-$F42*IF(AND(Returns!E20=1,Returns!E24=0),MIN(D43,Returns!$C$6*Returns!$C$11/4),0)/Returns!$C$6,0)</f>
        <v/>
      </c>
      <c r="F44" s="42">
        <f>IF(Returns!F20=1,E44-$F42*IF(AND(Returns!F20=1,Returns!F24=0),MIN(E43,Returns!$C$6*Returns!$C$11/4),0)/Returns!$C$6,0)</f>
        <v/>
      </c>
      <c r="G44" s="42">
        <f>IF(Returns!G20=1,F44-$F42*IF(AND(Returns!G20=1,Returns!G24=0),MIN(F43,Returns!$C$6*Returns!$C$11/4),0)/Returns!$C$6,0)</f>
        <v/>
      </c>
      <c r="H44" s="42">
        <f>IF(Returns!H20=1,G44-$F42*IF(AND(Returns!H20=1,Returns!H24=0),MIN(G43,Returns!$C$6*Returns!$C$11/4),0)/Returns!$C$6,0)</f>
        <v/>
      </c>
      <c r="I44" s="42">
        <f>IF(Returns!I20=1,H44-$F42*IF(AND(Returns!I20=1,Returns!I24=0),MIN(H43,Returns!$C$6*Returns!$C$11/4),0)/Returns!$C$6,0)</f>
        <v/>
      </c>
      <c r="J44" s="42">
        <f>IF(Returns!J20=1,I44-$F42*IF(AND(Returns!J20=1,Returns!J24=0),MIN(I43,Returns!$C$6*Returns!$C$11/4),0)/Returns!$C$6,0)</f>
        <v/>
      </c>
      <c r="K44" s="42">
        <f>IF(Returns!K20=1,J44-$F42*IF(AND(Returns!K20=1,Returns!K24=0),MIN(J43,Returns!$C$6*Returns!$C$11/4),0)/Returns!$C$6,0)</f>
        <v/>
      </c>
      <c r="L44" s="42">
        <f>IF(Returns!L20=1,K44-$F42*IF(AND(Returns!L20=1,Returns!L24=0),MIN(K43,Returns!$C$6*Returns!$C$11/4),0)/Returns!$C$6,0)</f>
        <v/>
      </c>
      <c r="M44" s="42">
        <f>IF(Returns!M20=1,L44-$F42*IF(AND(Returns!M20=1,Returns!M24=0),MIN(L43,Returns!$C$6*Returns!$C$11/4),0)/Returns!$C$6,0)</f>
        <v/>
      </c>
      <c r="N44" s="42">
        <f>IF(Returns!N20=1,M44-$F42*IF(AND(Returns!N20=1,Returns!N24=0),MIN(M43,Returns!$C$6*Returns!$C$11/4),0)/Returns!$C$6,0)</f>
        <v/>
      </c>
      <c r="O44" s="42">
        <f>IF(Returns!O20=1,N44-$F42*IF(AND(Returns!O20=1,Returns!O24=0),MIN(N43,Returns!$C$6*Returns!$C$11/4),0)/Returns!$C$6,0)</f>
        <v/>
      </c>
      <c r="P44" s="42">
        <f>IF(Returns!P20=1,O44-$F42*IF(AND(Returns!P20=1,Returns!P24=0),MIN(O43,Returns!$C$6*Returns!$C$11/4),0)/Returns!$C$6,0)</f>
        <v/>
      </c>
      <c r="Q44" s="42">
        <f>IF(Returns!Q20=1,P44-$F42*IF(AND(Returns!Q20=1,Returns!Q24=0),MIN(P43,Returns!$C$6*Returns!$C$11/4),0)/Returns!$C$6,0)</f>
        <v/>
      </c>
      <c r="R44" s="42">
        <f>IF(Returns!R20=1,Q44-$F42*IF(AND(Returns!R20=1,Returns!R24=0),MIN(Q43,Returns!$C$6*Returns!$C$11/4),0)/Returns!$C$6,0)</f>
        <v/>
      </c>
      <c r="S44" s="42">
        <f>IF(Returns!S20=1,R44-$F42*IF(AND(Returns!S20=1,Returns!S24=0),MIN(R43,Returns!$C$6*Returns!$C$11/4),0)/Returns!$C$6,0)</f>
        <v/>
      </c>
      <c r="T44" s="42">
        <f>IF(Returns!T20=1,S44-$F42*IF(AND(Returns!T20=1,Returns!T24=0),MIN(S43,Returns!$C$6*Returns!$C$11/4),0)/Returns!$C$6,0)</f>
        <v/>
      </c>
      <c r="U44" s="42">
        <f>IF(Returns!U20=1,T44-$F42*IF(AND(Returns!U20=1,Returns!U24=0),MIN(T43,Returns!$C$6*Returns!$C$11/4),0)/Returns!$C$6,0)</f>
        <v/>
      </c>
      <c r="V44" s="42">
        <f>IF(Returns!V20=1,U44-$F42*IF(AND(Returns!V20=1,Returns!V24=0),MIN(U43,Returns!$C$6*Returns!$C$11/4),0)/Returns!$C$6,0)</f>
        <v/>
      </c>
      <c r="W44" s="42">
        <f>IF(Returns!W20=1,V44-$F42*IF(AND(Returns!W20=1,Returns!W24=0),MIN(V43,Returns!$C$6*Returns!$C$11/4),0)/Returns!$C$6,0)</f>
        <v/>
      </c>
    </row>
    <row r="45" ht="15" customHeight="1" s="31">
      <c r="B45" s="35" t="inlineStr">
        <is>
          <t>Levered net cash flow</t>
        </is>
      </c>
      <c r="C45" s="42">
        <f>-Returns!$C$6*(1-Returns!$D$8)+$F42</f>
        <v/>
      </c>
      <c r="D45" s="42">
        <f>Returns!D20*(1-Returns!D24)*C43*(Returns!D22+$C42/10000)/4+IF(AND(Returns!D20=1,Returns!D24=0),MIN(C43,Returns!$C$6*Returns!$C$11/4),0)+Returns!D21*D43*Returns!$C$12/100-Returns!D20*C44*(Returns!D22+Returns!$I$8/10000)/4-$F42*IF(AND(Returns!D20=1,Returns!D24=0),MIN(C43,Returns!$C$6*Returns!$C$11/4),0)/Returns!$C$6-Returns!D21*D44</f>
        <v/>
      </c>
      <c r="E45" s="42">
        <f>Returns!E20*(1-Returns!E24)*D43*(Returns!E22+$C42/10000)/4+IF(AND(Returns!E20=1,Returns!E24=0),MIN(D43,Returns!$C$6*Returns!$C$11/4),0)+Returns!E21*E43*Returns!$C$12/100-Returns!E20*D44*(Returns!E22+Returns!$I$8/10000)/4-$F42*IF(AND(Returns!E20=1,Returns!E24=0),MIN(D43,Returns!$C$6*Returns!$C$11/4),0)/Returns!$C$6-Returns!E21*E44</f>
        <v/>
      </c>
      <c r="F45" s="42">
        <f>Returns!F20*(1-Returns!F24)*E43*(Returns!F22+$C42/10000)/4+IF(AND(Returns!F20=1,Returns!F24=0),MIN(E43,Returns!$C$6*Returns!$C$11/4),0)+Returns!F21*F43*Returns!$C$12/100-Returns!F20*E44*(Returns!F22+Returns!$I$8/10000)/4-$F42*IF(AND(Returns!F20=1,Returns!F24=0),MIN(E43,Returns!$C$6*Returns!$C$11/4),0)/Returns!$C$6-Returns!F21*F44</f>
        <v/>
      </c>
      <c r="G45" s="42">
        <f>Returns!G20*(1-Returns!G24)*F43*(Returns!G22+$C42/10000)/4+IF(AND(Returns!G20=1,Returns!G24=0),MIN(F43,Returns!$C$6*Returns!$C$11/4),0)+Returns!G21*G43*Returns!$C$12/100-Returns!G20*F44*(Returns!G22+Returns!$I$8/10000)/4-$F42*IF(AND(Returns!G20=1,Returns!G24=0),MIN(F43,Returns!$C$6*Returns!$C$11/4),0)/Returns!$C$6-Returns!G21*G44</f>
        <v/>
      </c>
      <c r="H45" s="42">
        <f>Returns!H20*(1-Returns!H24)*G43*(Returns!H22+$C42/10000)/4+IF(AND(Returns!H20=1,Returns!H24=0),MIN(G43,Returns!$C$6*Returns!$C$11/4),0)+Returns!H21*H43*Returns!$C$12/100-Returns!H20*G44*(Returns!H22+Returns!$I$8/10000)/4-$F42*IF(AND(Returns!H20=1,Returns!H24=0),MIN(G43,Returns!$C$6*Returns!$C$11/4),0)/Returns!$C$6-Returns!H21*H44</f>
        <v/>
      </c>
      <c r="I45" s="42">
        <f>Returns!I20*(1-Returns!I24)*H43*(Returns!I22+$C42/10000)/4+IF(AND(Returns!I20=1,Returns!I24=0),MIN(H43,Returns!$C$6*Returns!$C$11/4),0)+Returns!I21*I43*Returns!$C$12/100-Returns!I20*H44*(Returns!I22+Returns!$I$8/10000)/4-$F42*IF(AND(Returns!I20=1,Returns!I24=0),MIN(H43,Returns!$C$6*Returns!$C$11/4),0)/Returns!$C$6-Returns!I21*I44</f>
        <v/>
      </c>
      <c r="J45" s="42">
        <f>Returns!J20*(1-Returns!J24)*I43*(Returns!J22+$C42/10000)/4+IF(AND(Returns!J20=1,Returns!J24=0),MIN(I43,Returns!$C$6*Returns!$C$11/4),0)+Returns!J21*J43*Returns!$C$12/100-Returns!J20*I44*(Returns!J22+Returns!$I$8/10000)/4-$F42*IF(AND(Returns!J20=1,Returns!J24=0),MIN(I43,Returns!$C$6*Returns!$C$11/4),0)/Returns!$C$6-Returns!J21*J44</f>
        <v/>
      </c>
      <c r="K45" s="42">
        <f>Returns!K20*(1-Returns!K24)*J43*(Returns!K22+$C42/10000)/4+IF(AND(Returns!K20=1,Returns!K24=0),MIN(J43,Returns!$C$6*Returns!$C$11/4),0)+Returns!K21*K43*Returns!$C$12/100-Returns!K20*J44*(Returns!K22+Returns!$I$8/10000)/4-$F42*IF(AND(Returns!K20=1,Returns!K24=0),MIN(J43,Returns!$C$6*Returns!$C$11/4),0)/Returns!$C$6-Returns!K21*K44</f>
        <v/>
      </c>
      <c r="L45" s="42">
        <f>Returns!L20*(1-Returns!L24)*K43*(Returns!L22+$C42/10000)/4+IF(AND(Returns!L20=1,Returns!L24=0),MIN(K43,Returns!$C$6*Returns!$C$11/4),0)+Returns!L21*L43*Returns!$C$12/100-Returns!L20*K44*(Returns!L22+Returns!$I$8/10000)/4-$F42*IF(AND(Returns!L20=1,Returns!L24=0),MIN(K43,Returns!$C$6*Returns!$C$11/4),0)/Returns!$C$6-Returns!L21*L44</f>
        <v/>
      </c>
      <c r="M45" s="42">
        <f>Returns!M20*(1-Returns!M24)*L43*(Returns!M22+$C42/10000)/4+IF(AND(Returns!M20=1,Returns!M24=0),MIN(L43,Returns!$C$6*Returns!$C$11/4),0)+Returns!M21*M43*Returns!$C$12/100-Returns!M20*L44*(Returns!M22+Returns!$I$8/10000)/4-$F42*IF(AND(Returns!M20=1,Returns!M24=0),MIN(L43,Returns!$C$6*Returns!$C$11/4),0)/Returns!$C$6-Returns!M21*M44</f>
        <v/>
      </c>
      <c r="N45" s="42">
        <f>Returns!N20*(1-Returns!N24)*M43*(Returns!N22+$C42/10000)/4+IF(AND(Returns!N20=1,Returns!N24=0),MIN(M43,Returns!$C$6*Returns!$C$11/4),0)+Returns!N21*N43*Returns!$C$12/100-Returns!N20*M44*(Returns!N22+Returns!$I$8/10000)/4-$F42*IF(AND(Returns!N20=1,Returns!N24=0),MIN(M43,Returns!$C$6*Returns!$C$11/4),0)/Returns!$C$6-Returns!N21*N44</f>
        <v/>
      </c>
      <c r="O45" s="42">
        <f>Returns!O20*(1-Returns!O24)*N43*(Returns!O22+$C42/10000)/4+IF(AND(Returns!O20=1,Returns!O24=0),MIN(N43,Returns!$C$6*Returns!$C$11/4),0)+Returns!O21*O43*Returns!$C$12/100-Returns!O20*N44*(Returns!O22+Returns!$I$8/10000)/4-$F42*IF(AND(Returns!O20=1,Returns!O24=0),MIN(N43,Returns!$C$6*Returns!$C$11/4),0)/Returns!$C$6-Returns!O21*O44</f>
        <v/>
      </c>
      <c r="P45" s="42">
        <f>Returns!P20*(1-Returns!P24)*O43*(Returns!P22+$C42/10000)/4+IF(AND(Returns!P20=1,Returns!P24=0),MIN(O43,Returns!$C$6*Returns!$C$11/4),0)+Returns!P21*P43*Returns!$C$12/100-Returns!P20*O44*(Returns!P22+Returns!$I$8/10000)/4-$F42*IF(AND(Returns!P20=1,Returns!P24=0),MIN(O43,Returns!$C$6*Returns!$C$11/4),0)/Returns!$C$6-Returns!P21*P44</f>
        <v/>
      </c>
      <c r="Q45" s="42">
        <f>Returns!Q20*(1-Returns!Q24)*P43*(Returns!Q22+$C42/10000)/4+IF(AND(Returns!Q20=1,Returns!Q24=0),MIN(P43,Returns!$C$6*Returns!$C$11/4),0)+Returns!Q21*Q43*Returns!$C$12/100-Returns!Q20*P44*(Returns!Q22+Returns!$I$8/10000)/4-$F42*IF(AND(Returns!Q20=1,Returns!Q24=0),MIN(P43,Returns!$C$6*Returns!$C$11/4),0)/Returns!$C$6-Returns!Q21*Q44</f>
        <v/>
      </c>
      <c r="R45" s="42">
        <f>Returns!R20*(1-Returns!R24)*Q43*(Returns!R22+$C42/10000)/4+IF(AND(Returns!R20=1,Returns!R24=0),MIN(Q43,Returns!$C$6*Returns!$C$11/4),0)+Returns!R21*R43*Returns!$C$12/100-Returns!R20*Q44*(Returns!R22+Returns!$I$8/10000)/4-$F42*IF(AND(Returns!R20=1,Returns!R24=0),MIN(Q43,Returns!$C$6*Returns!$C$11/4),0)/Returns!$C$6-Returns!R21*R44</f>
        <v/>
      </c>
      <c r="S45" s="42">
        <f>Returns!S20*(1-Returns!S24)*R43*(Returns!S22+$C42/10000)/4+IF(AND(Returns!S20=1,Returns!S24=0),MIN(R43,Returns!$C$6*Returns!$C$11/4),0)+Returns!S21*S43*Returns!$C$12/100-Returns!S20*R44*(Returns!S22+Returns!$I$8/10000)/4-$F42*IF(AND(Returns!S20=1,Returns!S24=0),MIN(R43,Returns!$C$6*Returns!$C$11/4),0)/Returns!$C$6-Returns!S21*S44</f>
        <v/>
      </c>
      <c r="T45" s="42">
        <f>Returns!T20*(1-Returns!T24)*S43*(Returns!T22+$C42/10000)/4+IF(AND(Returns!T20=1,Returns!T24=0),MIN(S43,Returns!$C$6*Returns!$C$11/4),0)+Returns!T21*T43*Returns!$C$12/100-Returns!T20*S44*(Returns!T22+Returns!$I$8/10000)/4-$F42*IF(AND(Returns!T20=1,Returns!T24=0),MIN(S43,Returns!$C$6*Returns!$C$11/4),0)/Returns!$C$6-Returns!T21*T44</f>
        <v/>
      </c>
      <c r="U45" s="42">
        <f>Returns!U20*(1-Returns!U24)*T43*(Returns!U22+$C42/10000)/4+IF(AND(Returns!U20=1,Returns!U24=0),MIN(T43,Returns!$C$6*Returns!$C$11/4),0)+Returns!U21*U43*Returns!$C$12/100-Returns!U20*T44*(Returns!U22+Returns!$I$8/10000)/4-$F42*IF(AND(Returns!U20=1,Returns!U24=0),MIN(T43,Returns!$C$6*Returns!$C$11/4),0)/Returns!$C$6-Returns!U21*U44</f>
        <v/>
      </c>
      <c r="V45" s="42">
        <f>Returns!V20*(1-Returns!V24)*U43*(Returns!V22+$C42/10000)/4+IF(AND(Returns!V20=1,Returns!V24=0),MIN(U43,Returns!$C$6*Returns!$C$11/4),0)+Returns!V21*V43*Returns!$C$12/100-Returns!V20*U44*(Returns!V22+Returns!$I$8/10000)/4-$F42*IF(AND(Returns!V20=1,Returns!V24=0),MIN(U43,Returns!$C$6*Returns!$C$11/4),0)/Returns!$C$6-Returns!V21*V44</f>
        <v/>
      </c>
      <c r="W45" s="42">
        <f>Returns!W20*(1-Returns!W24)*V43*(Returns!W22+$C42/10000)/4+IF(AND(Returns!W20=1,Returns!W24=0),MIN(V43,Returns!$C$6*Returns!$C$11/4),0)+Returns!W21*W43*Returns!$C$12/100-Returns!W20*V44*(Returns!W22+Returns!$I$8/10000)/4-$F42*IF(AND(Returns!W20=1,Returns!W24=0),MIN(V43,Returns!$C$6*Returns!$C$11/4),0)/Returns!$C$6-Returns!W21*W44</f>
        <v/>
      </c>
    </row>
    <row r="47" ht="15" customHeight="1" s="31">
      <c r="B47" s="34" t="inlineStr">
        <is>
          <t>Spread offset +0 bps, leverage 1.25x — parameters (spread, leverage, advance rate, financing at close)</t>
        </is>
      </c>
      <c r="C47" s="45">
        <f>Returns!$C$7+(0)</f>
        <v/>
      </c>
      <c r="D47" s="59" t="n">
        <v>1.25</v>
      </c>
      <c r="E47" s="60">
        <f>D47/(1+D47)</f>
        <v/>
      </c>
      <c r="F47" s="42">
        <f>Returns!$C$6*(1-Returns!$D$8)*E47</f>
        <v/>
      </c>
    </row>
    <row r="48" ht="15" customHeight="1" s="31">
      <c r="B48" s="35" t="inlineStr">
        <is>
          <t>Loan ending balance (before exit payoff)</t>
        </is>
      </c>
      <c r="C48" s="42">
        <f>Returns!$C$6</f>
        <v/>
      </c>
      <c r="D48" s="42">
        <f>IF(Returns!D20=1,C48+Returns!D24*C48*(Returns!D22+$C47/10000)/4-IF(AND(Returns!D20=1,Returns!D24=0),MIN(C48,Returns!$C$6*Returns!$C$11/4),0),0)</f>
        <v/>
      </c>
      <c r="E48" s="42">
        <f>IF(Returns!E20=1,D48+Returns!E24*D48*(Returns!E22+$C47/10000)/4-IF(AND(Returns!E20=1,Returns!E24=0),MIN(D48,Returns!$C$6*Returns!$C$11/4),0),0)</f>
        <v/>
      </c>
      <c r="F48" s="42">
        <f>IF(Returns!F20=1,E48+Returns!F24*E48*(Returns!F22+$C47/10000)/4-IF(AND(Returns!F20=1,Returns!F24=0),MIN(E48,Returns!$C$6*Returns!$C$11/4),0),0)</f>
        <v/>
      </c>
      <c r="G48" s="42">
        <f>IF(Returns!G20=1,F48+Returns!G24*F48*(Returns!G22+$C47/10000)/4-IF(AND(Returns!G20=1,Returns!G24=0),MIN(F48,Returns!$C$6*Returns!$C$11/4),0),0)</f>
        <v/>
      </c>
      <c r="H48" s="42">
        <f>IF(Returns!H20=1,G48+Returns!H24*G48*(Returns!H22+$C47/10000)/4-IF(AND(Returns!H20=1,Returns!H24=0),MIN(G48,Returns!$C$6*Returns!$C$11/4),0),0)</f>
        <v/>
      </c>
      <c r="I48" s="42">
        <f>IF(Returns!I20=1,H48+Returns!I24*H48*(Returns!I22+$C47/10000)/4-IF(AND(Returns!I20=1,Returns!I24=0),MIN(H48,Returns!$C$6*Returns!$C$11/4),0),0)</f>
        <v/>
      </c>
      <c r="J48" s="42">
        <f>IF(Returns!J20=1,I48+Returns!J24*I48*(Returns!J22+$C47/10000)/4-IF(AND(Returns!J20=1,Returns!J24=0),MIN(I48,Returns!$C$6*Returns!$C$11/4),0),0)</f>
        <v/>
      </c>
      <c r="K48" s="42">
        <f>IF(Returns!K20=1,J48+Returns!K24*J48*(Returns!K22+$C47/10000)/4-IF(AND(Returns!K20=1,Returns!K24=0),MIN(J48,Returns!$C$6*Returns!$C$11/4),0),0)</f>
        <v/>
      </c>
      <c r="L48" s="42">
        <f>IF(Returns!L20=1,K48+Returns!L24*K48*(Returns!L22+$C47/10000)/4-IF(AND(Returns!L20=1,Returns!L24=0),MIN(K48,Returns!$C$6*Returns!$C$11/4),0),0)</f>
        <v/>
      </c>
      <c r="M48" s="42">
        <f>IF(Returns!M20=1,L48+Returns!M24*L48*(Returns!M22+$C47/10000)/4-IF(AND(Returns!M20=1,Returns!M24=0),MIN(L48,Returns!$C$6*Returns!$C$11/4),0),0)</f>
        <v/>
      </c>
      <c r="N48" s="42">
        <f>IF(Returns!N20=1,M48+Returns!N24*M48*(Returns!N22+$C47/10000)/4-IF(AND(Returns!N20=1,Returns!N24=0),MIN(M48,Returns!$C$6*Returns!$C$11/4),0),0)</f>
        <v/>
      </c>
      <c r="O48" s="42">
        <f>IF(Returns!O20=1,N48+Returns!O24*N48*(Returns!O22+$C47/10000)/4-IF(AND(Returns!O20=1,Returns!O24=0),MIN(N48,Returns!$C$6*Returns!$C$11/4),0),0)</f>
        <v/>
      </c>
      <c r="P48" s="42">
        <f>IF(Returns!P20=1,O48+Returns!P24*O48*(Returns!P22+$C47/10000)/4-IF(AND(Returns!P20=1,Returns!P24=0),MIN(O48,Returns!$C$6*Returns!$C$11/4),0),0)</f>
        <v/>
      </c>
      <c r="Q48" s="42">
        <f>IF(Returns!Q20=1,P48+Returns!Q24*P48*(Returns!Q22+$C47/10000)/4-IF(AND(Returns!Q20=1,Returns!Q24=0),MIN(P48,Returns!$C$6*Returns!$C$11/4),0),0)</f>
        <v/>
      </c>
      <c r="R48" s="42">
        <f>IF(Returns!R20=1,Q48+Returns!R24*Q48*(Returns!R22+$C47/10000)/4-IF(AND(Returns!R20=1,Returns!R24=0),MIN(Q48,Returns!$C$6*Returns!$C$11/4),0),0)</f>
        <v/>
      </c>
      <c r="S48" s="42">
        <f>IF(Returns!S20=1,R48+Returns!S24*R48*(Returns!S22+$C47/10000)/4-IF(AND(Returns!S20=1,Returns!S24=0),MIN(R48,Returns!$C$6*Returns!$C$11/4),0),0)</f>
        <v/>
      </c>
      <c r="T48" s="42">
        <f>IF(Returns!T20=1,S48+Returns!T24*S48*(Returns!T22+$C47/10000)/4-IF(AND(Returns!T20=1,Returns!T24=0),MIN(S48,Returns!$C$6*Returns!$C$11/4),0),0)</f>
        <v/>
      </c>
      <c r="U48" s="42">
        <f>IF(Returns!U20=1,T48+Returns!U24*T48*(Returns!U22+$C47/10000)/4-IF(AND(Returns!U20=1,Returns!U24=0),MIN(T48,Returns!$C$6*Returns!$C$11/4),0),0)</f>
        <v/>
      </c>
      <c r="V48" s="42">
        <f>IF(Returns!V20=1,U48+Returns!V24*U48*(Returns!V22+$C47/10000)/4-IF(AND(Returns!V20=1,Returns!V24=0),MIN(U48,Returns!$C$6*Returns!$C$11/4),0),0)</f>
        <v/>
      </c>
      <c r="W48" s="42">
        <f>IF(Returns!W20=1,V48+Returns!W24*V48*(Returns!W22+$C47/10000)/4-IF(AND(Returns!W20=1,Returns!W24=0),MIN(V48,Returns!$C$6*Returns!$C$11/4),0),0)</f>
        <v/>
      </c>
    </row>
    <row r="49" ht="15" customHeight="1" s="31">
      <c r="B49" s="35" t="inlineStr">
        <is>
          <t>Financing line ending balance (before exit payoff)</t>
        </is>
      </c>
      <c r="C49" s="42">
        <f>$F47</f>
        <v/>
      </c>
      <c r="D49" s="42">
        <f>IF(Returns!D20=1,C49-$F47*IF(AND(Returns!D20=1,Returns!D24=0),MIN(C48,Returns!$C$6*Returns!$C$11/4),0)/Returns!$C$6,0)</f>
        <v/>
      </c>
      <c r="E49" s="42">
        <f>IF(Returns!E20=1,D49-$F47*IF(AND(Returns!E20=1,Returns!E24=0),MIN(D48,Returns!$C$6*Returns!$C$11/4),0)/Returns!$C$6,0)</f>
        <v/>
      </c>
      <c r="F49" s="42">
        <f>IF(Returns!F20=1,E49-$F47*IF(AND(Returns!F20=1,Returns!F24=0),MIN(E48,Returns!$C$6*Returns!$C$11/4),0)/Returns!$C$6,0)</f>
        <v/>
      </c>
      <c r="G49" s="42">
        <f>IF(Returns!G20=1,F49-$F47*IF(AND(Returns!G20=1,Returns!G24=0),MIN(F48,Returns!$C$6*Returns!$C$11/4),0)/Returns!$C$6,0)</f>
        <v/>
      </c>
      <c r="H49" s="42">
        <f>IF(Returns!H20=1,G49-$F47*IF(AND(Returns!H20=1,Returns!H24=0),MIN(G48,Returns!$C$6*Returns!$C$11/4),0)/Returns!$C$6,0)</f>
        <v/>
      </c>
      <c r="I49" s="42">
        <f>IF(Returns!I20=1,H49-$F47*IF(AND(Returns!I20=1,Returns!I24=0),MIN(H48,Returns!$C$6*Returns!$C$11/4),0)/Returns!$C$6,0)</f>
        <v/>
      </c>
      <c r="J49" s="42">
        <f>IF(Returns!J20=1,I49-$F47*IF(AND(Returns!J20=1,Returns!J24=0),MIN(I48,Returns!$C$6*Returns!$C$11/4),0)/Returns!$C$6,0)</f>
        <v/>
      </c>
      <c r="K49" s="42">
        <f>IF(Returns!K20=1,J49-$F47*IF(AND(Returns!K20=1,Returns!K24=0),MIN(J48,Returns!$C$6*Returns!$C$11/4),0)/Returns!$C$6,0)</f>
        <v/>
      </c>
      <c r="L49" s="42">
        <f>IF(Returns!L20=1,K49-$F47*IF(AND(Returns!L20=1,Returns!L24=0),MIN(K48,Returns!$C$6*Returns!$C$11/4),0)/Returns!$C$6,0)</f>
        <v/>
      </c>
      <c r="M49" s="42">
        <f>IF(Returns!M20=1,L49-$F47*IF(AND(Returns!M20=1,Returns!M24=0),MIN(L48,Returns!$C$6*Returns!$C$11/4),0)/Returns!$C$6,0)</f>
        <v/>
      </c>
      <c r="N49" s="42">
        <f>IF(Returns!N20=1,M49-$F47*IF(AND(Returns!N20=1,Returns!N24=0),MIN(M48,Returns!$C$6*Returns!$C$11/4),0)/Returns!$C$6,0)</f>
        <v/>
      </c>
      <c r="O49" s="42">
        <f>IF(Returns!O20=1,N49-$F47*IF(AND(Returns!O20=1,Returns!O24=0),MIN(N48,Returns!$C$6*Returns!$C$11/4),0)/Returns!$C$6,0)</f>
        <v/>
      </c>
      <c r="P49" s="42">
        <f>IF(Returns!P20=1,O49-$F47*IF(AND(Returns!P20=1,Returns!P24=0),MIN(O48,Returns!$C$6*Returns!$C$11/4),0)/Returns!$C$6,0)</f>
        <v/>
      </c>
      <c r="Q49" s="42">
        <f>IF(Returns!Q20=1,P49-$F47*IF(AND(Returns!Q20=1,Returns!Q24=0),MIN(P48,Returns!$C$6*Returns!$C$11/4),0)/Returns!$C$6,0)</f>
        <v/>
      </c>
      <c r="R49" s="42">
        <f>IF(Returns!R20=1,Q49-$F47*IF(AND(Returns!R20=1,Returns!R24=0),MIN(Q48,Returns!$C$6*Returns!$C$11/4),0)/Returns!$C$6,0)</f>
        <v/>
      </c>
      <c r="S49" s="42">
        <f>IF(Returns!S20=1,R49-$F47*IF(AND(Returns!S20=1,Returns!S24=0),MIN(R48,Returns!$C$6*Returns!$C$11/4),0)/Returns!$C$6,0)</f>
        <v/>
      </c>
      <c r="T49" s="42">
        <f>IF(Returns!T20=1,S49-$F47*IF(AND(Returns!T20=1,Returns!T24=0),MIN(S48,Returns!$C$6*Returns!$C$11/4),0)/Returns!$C$6,0)</f>
        <v/>
      </c>
      <c r="U49" s="42">
        <f>IF(Returns!U20=1,T49-$F47*IF(AND(Returns!U20=1,Returns!U24=0),MIN(T48,Returns!$C$6*Returns!$C$11/4),0)/Returns!$C$6,0)</f>
        <v/>
      </c>
      <c r="V49" s="42">
        <f>IF(Returns!V20=1,U49-$F47*IF(AND(Returns!V20=1,Returns!V24=0),MIN(U48,Returns!$C$6*Returns!$C$11/4),0)/Returns!$C$6,0)</f>
        <v/>
      </c>
      <c r="W49" s="42">
        <f>IF(Returns!W20=1,V49-$F47*IF(AND(Returns!W20=1,Returns!W24=0),MIN(V48,Returns!$C$6*Returns!$C$11/4),0)/Returns!$C$6,0)</f>
        <v/>
      </c>
    </row>
    <row r="50" ht="15" customHeight="1" s="31">
      <c r="B50" s="35" t="inlineStr">
        <is>
          <t>Levered net cash flow</t>
        </is>
      </c>
      <c r="C50" s="42">
        <f>-Returns!$C$6*(1-Returns!$D$8)+$F47</f>
        <v/>
      </c>
      <c r="D50" s="42">
        <f>Returns!D20*(1-Returns!D24)*C48*(Returns!D22+$C47/10000)/4+IF(AND(Returns!D20=1,Returns!D24=0),MIN(C48,Returns!$C$6*Returns!$C$11/4),0)+Returns!D21*D48*Returns!$C$12/100-Returns!D20*C49*(Returns!D22+Returns!$I$8/10000)/4-$F47*IF(AND(Returns!D20=1,Returns!D24=0),MIN(C48,Returns!$C$6*Returns!$C$11/4),0)/Returns!$C$6-Returns!D21*D49</f>
        <v/>
      </c>
      <c r="E50" s="42">
        <f>Returns!E20*(1-Returns!E24)*D48*(Returns!E22+$C47/10000)/4+IF(AND(Returns!E20=1,Returns!E24=0),MIN(D48,Returns!$C$6*Returns!$C$11/4),0)+Returns!E21*E48*Returns!$C$12/100-Returns!E20*D49*(Returns!E22+Returns!$I$8/10000)/4-$F47*IF(AND(Returns!E20=1,Returns!E24=0),MIN(D48,Returns!$C$6*Returns!$C$11/4),0)/Returns!$C$6-Returns!E21*E49</f>
        <v/>
      </c>
      <c r="F50" s="42">
        <f>Returns!F20*(1-Returns!F24)*E48*(Returns!F22+$C47/10000)/4+IF(AND(Returns!F20=1,Returns!F24=0),MIN(E48,Returns!$C$6*Returns!$C$11/4),0)+Returns!F21*F48*Returns!$C$12/100-Returns!F20*E49*(Returns!F22+Returns!$I$8/10000)/4-$F47*IF(AND(Returns!F20=1,Returns!F24=0),MIN(E48,Returns!$C$6*Returns!$C$11/4),0)/Returns!$C$6-Returns!F21*F49</f>
        <v/>
      </c>
      <c r="G50" s="42">
        <f>Returns!G20*(1-Returns!G24)*F48*(Returns!G22+$C47/10000)/4+IF(AND(Returns!G20=1,Returns!G24=0),MIN(F48,Returns!$C$6*Returns!$C$11/4),0)+Returns!G21*G48*Returns!$C$12/100-Returns!G20*F49*(Returns!G22+Returns!$I$8/10000)/4-$F47*IF(AND(Returns!G20=1,Returns!G24=0),MIN(F48,Returns!$C$6*Returns!$C$11/4),0)/Returns!$C$6-Returns!G21*G49</f>
        <v/>
      </c>
      <c r="H50" s="42">
        <f>Returns!H20*(1-Returns!H24)*G48*(Returns!H22+$C47/10000)/4+IF(AND(Returns!H20=1,Returns!H24=0),MIN(G48,Returns!$C$6*Returns!$C$11/4),0)+Returns!H21*H48*Returns!$C$12/100-Returns!H20*G49*(Returns!H22+Returns!$I$8/10000)/4-$F47*IF(AND(Returns!H20=1,Returns!H24=0),MIN(G48,Returns!$C$6*Returns!$C$11/4),0)/Returns!$C$6-Returns!H21*H49</f>
        <v/>
      </c>
      <c r="I50" s="42">
        <f>Returns!I20*(1-Returns!I24)*H48*(Returns!I22+$C47/10000)/4+IF(AND(Returns!I20=1,Returns!I24=0),MIN(H48,Returns!$C$6*Returns!$C$11/4),0)+Returns!I21*I48*Returns!$C$12/100-Returns!I20*H49*(Returns!I22+Returns!$I$8/10000)/4-$F47*IF(AND(Returns!I20=1,Returns!I24=0),MIN(H48,Returns!$C$6*Returns!$C$11/4),0)/Returns!$C$6-Returns!I21*I49</f>
        <v/>
      </c>
      <c r="J50" s="42">
        <f>Returns!J20*(1-Returns!J24)*I48*(Returns!J22+$C47/10000)/4+IF(AND(Returns!J20=1,Returns!J24=0),MIN(I48,Returns!$C$6*Returns!$C$11/4),0)+Returns!J21*J48*Returns!$C$12/100-Returns!J20*I49*(Returns!J22+Returns!$I$8/10000)/4-$F47*IF(AND(Returns!J20=1,Returns!J24=0),MIN(I48,Returns!$C$6*Returns!$C$11/4),0)/Returns!$C$6-Returns!J21*J49</f>
        <v/>
      </c>
      <c r="K50" s="42">
        <f>Returns!K20*(1-Returns!K24)*J48*(Returns!K22+$C47/10000)/4+IF(AND(Returns!K20=1,Returns!K24=0),MIN(J48,Returns!$C$6*Returns!$C$11/4),0)+Returns!K21*K48*Returns!$C$12/100-Returns!K20*J49*(Returns!K22+Returns!$I$8/10000)/4-$F47*IF(AND(Returns!K20=1,Returns!K24=0),MIN(J48,Returns!$C$6*Returns!$C$11/4),0)/Returns!$C$6-Returns!K21*K49</f>
        <v/>
      </c>
      <c r="L50" s="42">
        <f>Returns!L20*(1-Returns!L24)*K48*(Returns!L22+$C47/10000)/4+IF(AND(Returns!L20=1,Returns!L24=0),MIN(K48,Returns!$C$6*Returns!$C$11/4),0)+Returns!L21*L48*Returns!$C$12/100-Returns!L20*K49*(Returns!L22+Returns!$I$8/10000)/4-$F47*IF(AND(Returns!L20=1,Returns!L24=0),MIN(K48,Returns!$C$6*Returns!$C$11/4),0)/Returns!$C$6-Returns!L21*L49</f>
        <v/>
      </c>
      <c r="M50" s="42">
        <f>Returns!M20*(1-Returns!M24)*L48*(Returns!M22+$C47/10000)/4+IF(AND(Returns!M20=1,Returns!M24=0),MIN(L48,Returns!$C$6*Returns!$C$11/4),0)+Returns!M21*M48*Returns!$C$12/100-Returns!M20*L49*(Returns!M22+Returns!$I$8/10000)/4-$F47*IF(AND(Returns!M20=1,Returns!M24=0),MIN(L48,Returns!$C$6*Returns!$C$11/4),0)/Returns!$C$6-Returns!M21*M49</f>
        <v/>
      </c>
      <c r="N50" s="42">
        <f>Returns!N20*(1-Returns!N24)*M48*(Returns!N22+$C47/10000)/4+IF(AND(Returns!N20=1,Returns!N24=0),MIN(M48,Returns!$C$6*Returns!$C$11/4),0)+Returns!N21*N48*Returns!$C$12/100-Returns!N20*M49*(Returns!N22+Returns!$I$8/10000)/4-$F47*IF(AND(Returns!N20=1,Returns!N24=0),MIN(M48,Returns!$C$6*Returns!$C$11/4),0)/Returns!$C$6-Returns!N21*N49</f>
        <v/>
      </c>
      <c r="O50" s="42">
        <f>Returns!O20*(1-Returns!O24)*N48*(Returns!O22+$C47/10000)/4+IF(AND(Returns!O20=1,Returns!O24=0),MIN(N48,Returns!$C$6*Returns!$C$11/4),0)+Returns!O21*O48*Returns!$C$12/100-Returns!O20*N49*(Returns!O22+Returns!$I$8/10000)/4-$F47*IF(AND(Returns!O20=1,Returns!O24=0),MIN(N48,Returns!$C$6*Returns!$C$11/4),0)/Returns!$C$6-Returns!O21*O49</f>
        <v/>
      </c>
      <c r="P50" s="42">
        <f>Returns!P20*(1-Returns!P24)*O48*(Returns!P22+$C47/10000)/4+IF(AND(Returns!P20=1,Returns!P24=0),MIN(O48,Returns!$C$6*Returns!$C$11/4),0)+Returns!P21*P48*Returns!$C$12/100-Returns!P20*O49*(Returns!P22+Returns!$I$8/10000)/4-$F47*IF(AND(Returns!P20=1,Returns!P24=0),MIN(O48,Returns!$C$6*Returns!$C$11/4),0)/Returns!$C$6-Returns!P21*P49</f>
        <v/>
      </c>
      <c r="Q50" s="42">
        <f>Returns!Q20*(1-Returns!Q24)*P48*(Returns!Q22+$C47/10000)/4+IF(AND(Returns!Q20=1,Returns!Q24=0),MIN(P48,Returns!$C$6*Returns!$C$11/4),0)+Returns!Q21*Q48*Returns!$C$12/100-Returns!Q20*P49*(Returns!Q22+Returns!$I$8/10000)/4-$F47*IF(AND(Returns!Q20=1,Returns!Q24=0),MIN(P48,Returns!$C$6*Returns!$C$11/4),0)/Returns!$C$6-Returns!Q21*Q49</f>
        <v/>
      </c>
      <c r="R50" s="42">
        <f>Returns!R20*(1-Returns!R24)*Q48*(Returns!R22+$C47/10000)/4+IF(AND(Returns!R20=1,Returns!R24=0),MIN(Q48,Returns!$C$6*Returns!$C$11/4),0)+Returns!R21*R48*Returns!$C$12/100-Returns!R20*Q49*(Returns!R22+Returns!$I$8/10000)/4-$F47*IF(AND(Returns!R20=1,Returns!R24=0),MIN(Q48,Returns!$C$6*Returns!$C$11/4),0)/Returns!$C$6-Returns!R21*R49</f>
        <v/>
      </c>
      <c r="S50" s="42">
        <f>Returns!S20*(1-Returns!S24)*R48*(Returns!S22+$C47/10000)/4+IF(AND(Returns!S20=1,Returns!S24=0),MIN(R48,Returns!$C$6*Returns!$C$11/4),0)+Returns!S21*S48*Returns!$C$12/100-Returns!S20*R49*(Returns!S22+Returns!$I$8/10000)/4-$F47*IF(AND(Returns!S20=1,Returns!S24=0),MIN(R48,Returns!$C$6*Returns!$C$11/4),0)/Returns!$C$6-Returns!S21*S49</f>
        <v/>
      </c>
      <c r="T50" s="42">
        <f>Returns!T20*(1-Returns!T24)*S48*(Returns!T22+$C47/10000)/4+IF(AND(Returns!T20=1,Returns!T24=0),MIN(S48,Returns!$C$6*Returns!$C$11/4),0)+Returns!T21*T48*Returns!$C$12/100-Returns!T20*S49*(Returns!T22+Returns!$I$8/10000)/4-$F47*IF(AND(Returns!T20=1,Returns!T24=0),MIN(S48,Returns!$C$6*Returns!$C$11/4),0)/Returns!$C$6-Returns!T21*T49</f>
        <v/>
      </c>
      <c r="U50" s="42">
        <f>Returns!U20*(1-Returns!U24)*T48*(Returns!U22+$C47/10000)/4+IF(AND(Returns!U20=1,Returns!U24=0),MIN(T48,Returns!$C$6*Returns!$C$11/4),0)+Returns!U21*U48*Returns!$C$12/100-Returns!U20*T49*(Returns!U22+Returns!$I$8/10000)/4-$F47*IF(AND(Returns!U20=1,Returns!U24=0),MIN(T48,Returns!$C$6*Returns!$C$11/4),0)/Returns!$C$6-Returns!U21*U49</f>
        <v/>
      </c>
      <c r="V50" s="42">
        <f>Returns!V20*(1-Returns!V24)*U48*(Returns!V22+$C47/10000)/4+IF(AND(Returns!V20=1,Returns!V24=0),MIN(U48,Returns!$C$6*Returns!$C$11/4),0)+Returns!V21*V48*Returns!$C$12/100-Returns!V20*U49*(Returns!V22+Returns!$I$8/10000)/4-$F47*IF(AND(Returns!V20=1,Returns!V24=0),MIN(U48,Returns!$C$6*Returns!$C$11/4),0)/Returns!$C$6-Returns!V21*V49</f>
        <v/>
      </c>
      <c r="W50" s="42">
        <f>Returns!W20*(1-Returns!W24)*V48*(Returns!W22+$C47/10000)/4+IF(AND(Returns!W20=1,Returns!W24=0),MIN(V48,Returns!$C$6*Returns!$C$11/4),0)+Returns!W21*W48*Returns!$C$12/100-Returns!W20*V49*(Returns!W22+Returns!$I$8/10000)/4-$F47*IF(AND(Returns!W20=1,Returns!W24=0),MIN(V48,Returns!$C$6*Returns!$C$11/4),0)/Returns!$C$6-Returns!W21*W49</f>
        <v/>
      </c>
    </row>
    <row r="52" ht="15" customHeight="1" s="31">
      <c r="B52" s="34" t="inlineStr">
        <is>
          <t>Spread offset +50 bps, leverage 0.75x — parameters (spread, leverage, advance rate, financing at close)</t>
        </is>
      </c>
      <c r="C52" s="45">
        <f>Returns!$C$7+(50)</f>
        <v/>
      </c>
      <c r="D52" s="59" t="n">
        <v>0.75</v>
      </c>
      <c r="E52" s="60">
        <f>D52/(1+D52)</f>
        <v/>
      </c>
      <c r="F52" s="42">
        <f>Returns!$C$6*(1-Returns!$D$8)*E52</f>
        <v/>
      </c>
    </row>
    <row r="53" ht="15" customHeight="1" s="31">
      <c r="B53" s="35" t="inlineStr">
        <is>
          <t>Loan ending balance (before exit payoff)</t>
        </is>
      </c>
      <c r="C53" s="42">
        <f>Returns!$C$6</f>
        <v/>
      </c>
      <c r="D53" s="42">
        <f>IF(Returns!D20=1,C53+Returns!D24*C53*(Returns!D22+$C52/10000)/4-IF(AND(Returns!D20=1,Returns!D24=0),MIN(C53,Returns!$C$6*Returns!$C$11/4),0),0)</f>
        <v/>
      </c>
      <c r="E53" s="42">
        <f>IF(Returns!E20=1,D53+Returns!E24*D53*(Returns!E22+$C52/10000)/4-IF(AND(Returns!E20=1,Returns!E24=0),MIN(D53,Returns!$C$6*Returns!$C$11/4),0),0)</f>
        <v/>
      </c>
      <c r="F53" s="42">
        <f>IF(Returns!F20=1,E53+Returns!F24*E53*(Returns!F22+$C52/10000)/4-IF(AND(Returns!F20=1,Returns!F24=0),MIN(E53,Returns!$C$6*Returns!$C$11/4),0),0)</f>
        <v/>
      </c>
      <c r="G53" s="42">
        <f>IF(Returns!G20=1,F53+Returns!G24*F53*(Returns!G22+$C52/10000)/4-IF(AND(Returns!G20=1,Returns!G24=0),MIN(F53,Returns!$C$6*Returns!$C$11/4),0),0)</f>
        <v/>
      </c>
      <c r="H53" s="42">
        <f>IF(Returns!H20=1,G53+Returns!H24*G53*(Returns!H22+$C52/10000)/4-IF(AND(Returns!H20=1,Returns!H24=0),MIN(G53,Returns!$C$6*Returns!$C$11/4),0),0)</f>
        <v/>
      </c>
      <c r="I53" s="42">
        <f>IF(Returns!I20=1,H53+Returns!I24*H53*(Returns!I22+$C52/10000)/4-IF(AND(Returns!I20=1,Returns!I24=0),MIN(H53,Returns!$C$6*Returns!$C$11/4),0),0)</f>
        <v/>
      </c>
      <c r="J53" s="42">
        <f>IF(Returns!J20=1,I53+Returns!J24*I53*(Returns!J22+$C52/10000)/4-IF(AND(Returns!J20=1,Returns!J24=0),MIN(I53,Returns!$C$6*Returns!$C$11/4),0),0)</f>
        <v/>
      </c>
      <c r="K53" s="42">
        <f>IF(Returns!K20=1,J53+Returns!K24*J53*(Returns!K22+$C52/10000)/4-IF(AND(Returns!K20=1,Returns!K24=0),MIN(J53,Returns!$C$6*Returns!$C$11/4),0),0)</f>
        <v/>
      </c>
      <c r="L53" s="42">
        <f>IF(Returns!L20=1,K53+Returns!L24*K53*(Returns!L22+$C52/10000)/4-IF(AND(Returns!L20=1,Returns!L24=0),MIN(K53,Returns!$C$6*Returns!$C$11/4),0),0)</f>
        <v/>
      </c>
      <c r="M53" s="42">
        <f>IF(Returns!M20=1,L53+Returns!M24*L53*(Returns!M22+$C52/10000)/4-IF(AND(Returns!M20=1,Returns!M24=0),MIN(L53,Returns!$C$6*Returns!$C$11/4),0),0)</f>
        <v/>
      </c>
      <c r="N53" s="42">
        <f>IF(Returns!N20=1,M53+Returns!N24*M53*(Returns!N22+$C52/10000)/4-IF(AND(Returns!N20=1,Returns!N24=0),MIN(M53,Returns!$C$6*Returns!$C$11/4),0),0)</f>
        <v/>
      </c>
      <c r="O53" s="42">
        <f>IF(Returns!O20=1,N53+Returns!O24*N53*(Returns!O22+$C52/10000)/4-IF(AND(Returns!O20=1,Returns!O24=0),MIN(N53,Returns!$C$6*Returns!$C$11/4),0),0)</f>
        <v/>
      </c>
      <c r="P53" s="42">
        <f>IF(Returns!P20=1,O53+Returns!P24*O53*(Returns!P22+$C52/10000)/4-IF(AND(Returns!P20=1,Returns!P24=0),MIN(O53,Returns!$C$6*Returns!$C$11/4),0),0)</f>
        <v/>
      </c>
      <c r="Q53" s="42">
        <f>IF(Returns!Q20=1,P53+Returns!Q24*P53*(Returns!Q22+$C52/10000)/4-IF(AND(Returns!Q20=1,Returns!Q24=0),MIN(P53,Returns!$C$6*Returns!$C$11/4),0),0)</f>
        <v/>
      </c>
      <c r="R53" s="42">
        <f>IF(Returns!R20=1,Q53+Returns!R24*Q53*(Returns!R22+$C52/10000)/4-IF(AND(Returns!R20=1,Returns!R24=0),MIN(Q53,Returns!$C$6*Returns!$C$11/4),0),0)</f>
        <v/>
      </c>
      <c r="S53" s="42">
        <f>IF(Returns!S20=1,R53+Returns!S24*R53*(Returns!S22+$C52/10000)/4-IF(AND(Returns!S20=1,Returns!S24=0),MIN(R53,Returns!$C$6*Returns!$C$11/4),0),0)</f>
        <v/>
      </c>
      <c r="T53" s="42">
        <f>IF(Returns!T20=1,S53+Returns!T24*S53*(Returns!T22+$C52/10000)/4-IF(AND(Returns!T20=1,Returns!T24=0),MIN(S53,Returns!$C$6*Returns!$C$11/4),0),0)</f>
        <v/>
      </c>
      <c r="U53" s="42">
        <f>IF(Returns!U20=1,T53+Returns!U24*T53*(Returns!U22+$C52/10000)/4-IF(AND(Returns!U20=1,Returns!U24=0),MIN(T53,Returns!$C$6*Returns!$C$11/4),0),0)</f>
        <v/>
      </c>
      <c r="V53" s="42">
        <f>IF(Returns!V20=1,U53+Returns!V24*U53*(Returns!V22+$C52/10000)/4-IF(AND(Returns!V20=1,Returns!V24=0),MIN(U53,Returns!$C$6*Returns!$C$11/4),0),0)</f>
        <v/>
      </c>
      <c r="W53" s="42">
        <f>IF(Returns!W20=1,V53+Returns!W24*V53*(Returns!W22+$C52/10000)/4-IF(AND(Returns!W20=1,Returns!W24=0),MIN(V53,Returns!$C$6*Returns!$C$11/4),0),0)</f>
        <v/>
      </c>
    </row>
    <row r="54" ht="15" customHeight="1" s="31">
      <c r="B54" s="35" t="inlineStr">
        <is>
          <t>Financing line ending balance (before exit payoff)</t>
        </is>
      </c>
      <c r="C54" s="42">
        <f>$F52</f>
        <v/>
      </c>
      <c r="D54" s="42">
        <f>IF(Returns!D20=1,C54-$F52*IF(AND(Returns!D20=1,Returns!D24=0),MIN(C53,Returns!$C$6*Returns!$C$11/4),0)/Returns!$C$6,0)</f>
        <v/>
      </c>
      <c r="E54" s="42">
        <f>IF(Returns!E20=1,D54-$F52*IF(AND(Returns!E20=1,Returns!E24=0),MIN(D53,Returns!$C$6*Returns!$C$11/4),0)/Returns!$C$6,0)</f>
        <v/>
      </c>
      <c r="F54" s="42">
        <f>IF(Returns!F20=1,E54-$F52*IF(AND(Returns!F20=1,Returns!F24=0),MIN(E53,Returns!$C$6*Returns!$C$11/4),0)/Returns!$C$6,0)</f>
        <v/>
      </c>
      <c r="G54" s="42">
        <f>IF(Returns!G20=1,F54-$F52*IF(AND(Returns!G20=1,Returns!G24=0),MIN(F53,Returns!$C$6*Returns!$C$11/4),0)/Returns!$C$6,0)</f>
        <v/>
      </c>
      <c r="H54" s="42">
        <f>IF(Returns!H20=1,G54-$F52*IF(AND(Returns!H20=1,Returns!H24=0),MIN(G53,Returns!$C$6*Returns!$C$11/4),0)/Returns!$C$6,0)</f>
        <v/>
      </c>
      <c r="I54" s="42">
        <f>IF(Returns!I20=1,H54-$F52*IF(AND(Returns!I20=1,Returns!I24=0),MIN(H53,Returns!$C$6*Returns!$C$11/4),0)/Returns!$C$6,0)</f>
        <v/>
      </c>
      <c r="J54" s="42">
        <f>IF(Returns!J20=1,I54-$F52*IF(AND(Returns!J20=1,Returns!J24=0),MIN(I53,Returns!$C$6*Returns!$C$11/4),0)/Returns!$C$6,0)</f>
        <v/>
      </c>
      <c r="K54" s="42">
        <f>IF(Returns!K20=1,J54-$F52*IF(AND(Returns!K20=1,Returns!K24=0),MIN(J53,Returns!$C$6*Returns!$C$11/4),0)/Returns!$C$6,0)</f>
        <v/>
      </c>
      <c r="L54" s="42">
        <f>IF(Returns!L20=1,K54-$F52*IF(AND(Returns!L20=1,Returns!L24=0),MIN(K53,Returns!$C$6*Returns!$C$11/4),0)/Returns!$C$6,0)</f>
        <v/>
      </c>
      <c r="M54" s="42">
        <f>IF(Returns!M20=1,L54-$F52*IF(AND(Returns!M20=1,Returns!M24=0),MIN(L53,Returns!$C$6*Returns!$C$11/4),0)/Returns!$C$6,0)</f>
        <v/>
      </c>
      <c r="N54" s="42">
        <f>IF(Returns!N20=1,M54-$F52*IF(AND(Returns!N20=1,Returns!N24=0),MIN(M53,Returns!$C$6*Returns!$C$11/4),0)/Returns!$C$6,0)</f>
        <v/>
      </c>
      <c r="O54" s="42">
        <f>IF(Returns!O20=1,N54-$F52*IF(AND(Returns!O20=1,Returns!O24=0),MIN(N53,Returns!$C$6*Returns!$C$11/4),0)/Returns!$C$6,0)</f>
        <v/>
      </c>
      <c r="P54" s="42">
        <f>IF(Returns!P20=1,O54-$F52*IF(AND(Returns!P20=1,Returns!P24=0),MIN(O53,Returns!$C$6*Returns!$C$11/4),0)/Returns!$C$6,0)</f>
        <v/>
      </c>
      <c r="Q54" s="42">
        <f>IF(Returns!Q20=1,P54-$F52*IF(AND(Returns!Q20=1,Returns!Q24=0),MIN(P53,Returns!$C$6*Returns!$C$11/4),0)/Returns!$C$6,0)</f>
        <v/>
      </c>
      <c r="R54" s="42">
        <f>IF(Returns!R20=1,Q54-$F52*IF(AND(Returns!R20=1,Returns!R24=0),MIN(Q53,Returns!$C$6*Returns!$C$11/4),0)/Returns!$C$6,0)</f>
        <v/>
      </c>
      <c r="S54" s="42">
        <f>IF(Returns!S20=1,R54-$F52*IF(AND(Returns!S20=1,Returns!S24=0),MIN(R53,Returns!$C$6*Returns!$C$11/4),0)/Returns!$C$6,0)</f>
        <v/>
      </c>
      <c r="T54" s="42">
        <f>IF(Returns!T20=1,S54-$F52*IF(AND(Returns!T20=1,Returns!T24=0),MIN(S53,Returns!$C$6*Returns!$C$11/4),0)/Returns!$C$6,0)</f>
        <v/>
      </c>
      <c r="U54" s="42">
        <f>IF(Returns!U20=1,T54-$F52*IF(AND(Returns!U20=1,Returns!U24=0),MIN(T53,Returns!$C$6*Returns!$C$11/4),0)/Returns!$C$6,0)</f>
        <v/>
      </c>
      <c r="V54" s="42">
        <f>IF(Returns!V20=1,U54-$F52*IF(AND(Returns!V20=1,Returns!V24=0),MIN(U53,Returns!$C$6*Returns!$C$11/4),0)/Returns!$C$6,0)</f>
        <v/>
      </c>
      <c r="W54" s="42">
        <f>IF(Returns!W20=1,V54-$F52*IF(AND(Returns!W20=1,Returns!W24=0),MIN(V53,Returns!$C$6*Returns!$C$11/4),0)/Returns!$C$6,0)</f>
        <v/>
      </c>
    </row>
    <row r="55" ht="15" customHeight="1" s="31">
      <c r="B55" s="35" t="inlineStr">
        <is>
          <t>Levered net cash flow</t>
        </is>
      </c>
      <c r="C55" s="42">
        <f>-Returns!$C$6*(1-Returns!$D$8)+$F52</f>
        <v/>
      </c>
      <c r="D55" s="42">
        <f>Returns!D20*(1-Returns!D24)*C53*(Returns!D22+$C52/10000)/4+IF(AND(Returns!D20=1,Returns!D24=0),MIN(C53,Returns!$C$6*Returns!$C$11/4),0)+Returns!D21*D53*Returns!$C$12/100-Returns!D20*C54*(Returns!D22+Returns!$I$8/10000)/4-$F52*IF(AND(Returns!D20=1,Returns!D24=0),MIN(C53,Returns!$C$6*Returns!$C$11/4),0)/Returns!$C$6-Returns!D21*D54</f>
        <v/>
      </c>
      <c r="E55" s="42">
        <f>Returns!E20*(1-Returns!E24)*D53*(Returns!E22+$C52/10000)/4+IF(AND(Returns!E20=1,Returns!E24=0),MIN(D53,Returns!$C$6*Returns!$C$11/4),0)+Returns!E21*E53*Returns!$C$12/100-Returns!E20*D54*(Returns!E22+Returns!$I$8/10000)/4-$F52*IF(AND(Returns!E20=1,Returns!E24=0),MIN(D53,Returns!$C$6*Returns!$C$11/4),0)/Returns!$C$6-Returns!E21*E54</f>
        <v/>
      </c>
      <c r="F55" s="42">
        <f>Returns!F20*(1-Returns!F24)*E53*(Returns!F22+$C52/10000)/4+IF(AND(Returns!F20=1,Returns!F24=0),MIN(E53,Returns!$C$6*Returns!$C$11/4),0)+Returns!F21*F53*Returns!$C$12/100-Returns!F20*E54*(Returns!F22+Returns!$I$8/10000)/4-$F52*IF(AND(Returns!F20=1,Returns!F24=0),MIN(E53,Returns!$C$6*Returns!$C$11/4),0)/Returns!$C$6-Returns!F21*F54</f>
        <v/>
      </c>
      <c r="G55" s="42">
        <f>Returns!G20*(1-Returns!G24)*F53*(Returns!G22+$C52/10000)/4+IF(AND(Returns!G20=1,Returns!G24=0),MIN(F53,Returns!$C$6*Returns!$C$11/4),0)+Returns!G21*G53*Returns!$C$12/100-Returns!G20*F54*(Returns!G22+Returns!$I$8/10000)/4-$F52*IF(AND(Returns!G20=1,Returns!G24=0),MIN(F53,Returns!$C$6*Returns!$C$11/4),0)/Returns!$C$6-Returns!G21*G54</f>
        <v/>
      </c>
      <c r="H55" s="42">
        <f>Returns!H20*(1-Returns!H24)*G53*(Returns!H22+$C52/10000)/4+IF(AND(Returns!H20=1,Returns!H24=0),MIN(G53,Returns!$C$6*Returns!$C$11/4),0)+Returns!H21*H53*Returns!$C$12/100-Returns!H20*G54*(Returns!H22+Returns!$I$8/10000)/4-$F52*IF(AND(Returns!H20=1,Returns!H24=0),MIN(G53,Returns!$C$6*Returns!$C$11/4),0)/Returns!$C$6-Returns!H21*H54</f>
        <v/>
      </c>
      <c r="I55" s="42">
        <f>Returns!I20*(1-Returns!I24)*H53*(Returns!I22+$C52/10000)/4+IF(AND(Returns!I20=1,Returns!I24=0),MIN(H53,Returns!$C$6*Returns!$C$11/4),0)+Returns!I21*I53*Returns!$C$12/100-Returns!I20*H54*(Returns!I22+Returns!$I$8/10000)/4-$F52*IF(AND(Returns!I20=1,Returns!I24=0),MIN(H53,Returns!$C$6*Returns!$C$11/4),0)/Returns!$C$6-Returns!I21*I54</f>
        <v/>
      </c>
      <c r="J55" s="42">
        <f>Returns!J20*(1-Returns!J24)*I53*(Returns!J22+$C52/10000)/4+IF(AND(Returns!J20=1,Returns!J24=0),MIN(I53,Returns!$C$6*Returns!$C$11/4),0)+Returns!J21*J53*Returns!$C$12/100-Returns!J20*I54*(Returns!J22+Returns!$I$8/10000)/4-$F52*IF(AND(Returns!J20=1,Returns!J24=0),MIN(I53,Returns!$C$6*Returns!$C$11/4),0)/Returns!$C$6-Returns!J21*J54</f>
        <v/>
      </c>
      <c r="K55" s="42">
        <f>Returns!K20*(1-Returns!K24)*J53*(Returns!K22+$C52/10000)/4+IF(AND(Returns!K20=1,Returns!K24=0),MIN(J53,Returns!$C$6*Returns!$C$11/4),0)+Returns!K21*K53*Returns!$C$12/100-Returns!K20*J54*(Returns!K22+Returns!$I$8/10000)/4-$F52*IF(AND(Returns!K20=1,Returns!K24=0),MIN(J53,Returns!$C$6*Returns!$C$11/4),0)/Returns!$C$6-Returns!K21*K54</f>
        <v/>
      </c>
      <c r="L55" s="42">
        <f>Returns!L20*(1-Returns!L24)*K53*(Returns!L22+$C52/10000)/4+IF(AND(Returns!L20=1,Returns!L24=0),MIN(K53,Returns!$C$6*Returns!$C$11/4),0)+Returns!L21*L53*Returns!$C$12/100-Returns!L20*K54*(Returns!L22+Returns!$I$8/10000)/4-$F52*IF(AND(Returns!L20=1,Returns!L24=0),MIN(K53,Returns!$C$6*Returns!$C$11/4),0)/Returns!$C$6-Returns!L21*L54</f>
        <v/>
      </c>
      <c r="M55" s="42">
        <f>Returns!M20*(1-Returns!M24)*L53*(Returns!M22+$C52/10000)/4+IF(AND(Returns!M20=1,Returns!M24=0),MIN(L53,Returns!$C$6*Returns!$C$11/4),0)+Returns!M21*M53*Returns!$C$12/100-Returns!M20*L54*(Returns!M22+Returns!$I$8/10000)/4-$F52*IF(AND(Returns!M20=1,Returns!M24=0),MIN(L53,Returns!$C$6*Returns!$C$11/4),0)/Returns!$C$6-Returns!M21*M54</f>
        <v/>
      </c>
      <c r="N55" s="42">
        <f>Returns!N20*(1-Returns!N24)*M53*(Returns!N22+$C52/10000)/4+IF(AND(Returns!N20=1,Returns!N24=0),MIN(M53,Returns!$C$6*Returns!$C$11/4),0)+Returns!N21*N53*Returns!$C$12/100-Returns!N20*M54*(Returns!N22+Returns!$I$8/10000)/4-$F52*IF(AND(Returns!N20=1,Returns!N24=0),MIN(M53,Returns!$C$6*Returns!$C$11/4),0)/Returns!$C$6-Returns!N21*N54</f>
        <v/>
      </c>
      <c r="O55" s="42">
        <f>Returns!O20*(1-Returns!O24)*N53*(Returns!O22+$C52/10000)/4+IF(AND(Returns!O20=1,Returns!O24=0),MIN(N53,Returns!$C$6*Returns!$C$11/4),0)+Returns!O21*O53*Returns!$C$12/100-Returns!O20*N54*(Returns!O22+Returns!$I$8/10000)/4-$F52*IF(AND(Returns!O20=1,Returns!O24=0),MIN(N53,Returns!$C$6*Returns!$C$11/4),0)/Returns!$C$6-Returns!O21*O54</f>
        <v/>
      </c>
      <c r="P55" s="42">
        <f>Returns!P20*(1-Returns!P24)*O53*(Returns!P22+$C52/10000)/4+IF(AND(Returns!P20=1,Returns!P24=0),MIN(O53,Returns!$C$6*Returns!$C$11/4),0)+Returns!P21*P53*Returns!$C$12/100-Returns!P20*O54*(Returns!P22+Returns!$I$8/10000)/4-$F52*IF(AND(Returns!P20=1,Returns!P24=0),MIN(O53,Returns!$C$6*Returns!$C$11/4),0)/Returns!$C$6-Returns!P21*P54</f>
        <v/>
      </c>
      <c r="Q55" s="42">
        <f>Returns!Q20*(1-Returns!Q24)*P53*(Returns!Q22+$C52/10000)/4+IF(AND(Returns!Q20=1,Returns!Q24=0),MIN(P53,Returns!$C$6*Returns!$C$11/4),0)+Returns!Q21*Q53*Returns!$C$12/100-Returns!Q20*P54*(Returns!Q22+Returns!$I$8/10000)/4-$F52*IF(AND(Returns!Q20=1,Returns!Q24=0),MIN(P53,Returns!$C$6*Returns!$C$11/4),0)/Returns!$C$6-Returns!Q21*Q54</f>
        <v/>
      </c>
      <c r="R55" s="42">
        <f>Returns!R20*(1-Returns!R24)*Q53*(Returns!R22+$C52/10000)/4+IF(AND(Returns!R20=1,Returns!R24=0),MIN(Q53,Returns!$C$6*Returns!$C$11/4),0)+Returns!R21*R53*Returns!$C$12/100-Returns!R20*Q54*(Returns!R22+Returns!$I$8/10000)/4-$F52*IF(AND(Returns!R20=1,Returns!R24=0),MIN(Q53,Returns!$C$6*Returns!$C$11/4),0)/Returns!$C$6-Returns!R21*R54</f>
        <v/>
      </c>
      <c r="S55" s="42">
        <f>Returns!S20*(1-Returns!S24)*R53*(Returns!S22+$C52/10000)/4+IF(AND(Returns!S20=1,Returns!S24=0),MIN(R53,Returns!$C$6*Returns!$C$11/4),0)+Returns!S21*S53*Returns!$C$12/100-Returns!S20*R54*(Returns!S22+Returns!$I$8/10000)/4-$F52*IF(AND(Returns!S20=1,Returns!S24=0),MIN(R53,Returns!$C$6*Returns!$C$11/4),0)/Returns!$C$6-Returns!S21*S54</f>
        <v/>
      </c>
      <c r="T55" s="42">
        <f>Returns!T20*(1-Returns!T24)*S53*(Returns!T22+$C52/10000)/4+IF(AND(Returns!T20=1,Returns!T24=0),MIN(S53,Returns!$C$6*Returns!$C$11/4),0)+Returns!T21*T53*Returns!$C$12/100-Returns!T20*S54*(Returns!T22+Returns!$I$8/10000)/4-$F52*IF(AND(Returns!T20=1,Returns!T24=0),MIN(S53,Returns!$C$6*Returns!$C$11/4),0)/Returns!$C$6-Returns!T21*T54</f>
        <v/>
      </c>
      <c r="U55" s="42">
        <f>Returns!U20*(1-Returns!U24)*T53*(Returns!U22+$C52/10000)/4+IF(AND(Returns!U20=1,Returns!U24=0),MIN(T53,Returns!$C$6*Returns!$C$11/4),0)+Returns!U21*U53*Returns!$C$12/100-Returns!U20*T54*(Returns!U22+Returns!$I$8/10000)/4-$F52*IF(AND(Returns!U20=1,Returns!U24=0),MIN(T53,Returns!$C$6*Returns!$C$11/4),0)/Returns!$C$6-Returns!U21*U54</f>
        <v/>
      </c>
      <c r="V55" s="42">
        <f>Returns!V20*(1-Returns!V24)*U53*(Returns!V22+$C52/10000)/4+IF(AND(Returns!V20=1,Returns!V24=0),MIN(U53,Returns!$C$6*Returns!$C$11/4),0)+Returns!V21*V53*Returns!$C$12/100-Returns!V20*U54*(Returns!V22+Returns!$I$8/10000)/4-$F52*IF(AND(Returns!V20=1,Returns!V24=0),MIN(U53,Returns!$C$6*Returns!$C$11/4),0)/Returns!$C$6-Returns!V21*V54</f>
        <v/>
      </c>
      <c r="W55" s="42">
        <f>Returns!W20*(1-Returns!W24)*V53*(Returns!W22+$C52/10000)/4+IF(AND(Returns!W20=1,Returns!W24=0),MIN(V53,Returns!$C$6*Returns!$C$11/4),0)+Returns!W21*W53*Returns!$C$12/100-Returns!W20*V54*(Returns!W22+Returns!$I$8/10000)/4-$F52*IF(AND(Returns!W20=1,Returns!W24=0),MIN(V53,Returns!$C$6*Returns!$C$11/4),0)/Returns!$C$6-Returns!W21*W54</f>
        <v/>
      </c>
    </row>
    <row r="57" ht="15" customHeight="1" s="31">
      <c r="B57" s="34" t="inlineStr">
        <is>
          <t>Spread offset +50 bps, leverage 1.00x — parameters (spread, leverage, advance rate, financing at close)</t>
        </is>
      </c>
      <c r="C57" s="45">
        <f>Returns!$C$7+(50)</f>
        <v/>
      </c>
      <c r="D57" s="59" t="n">
        <v>1</v>
      </c>
      <c r="E57" s="60">
        <f>D57/(1+D57)</f>
        <v/>
      </c>
      <c r="F57" s="42">
        <f>Returns!$C$6*(1-Returns!$D$8)*E57</f>
        <v/>
      </c>
    </row>
    <row r="58" ht="15" customHeight="1" s="31">
      <c r="B58" s="35" t="inlineStr">
        <is>
          <t>Loan ending balance (before exit payoff)</t>
        </is>
      </c>
      <c r="C58" s="42">
        <f>Returns!$C$6</f>
        <v/>
      </c>
      <c r="D58" s="42">
        <f>IF(Returns!D20=1,C58+Returns!D24*C58*(Returns!D22+$C57/10000)/4-IF(AND(Returns!D20=1,Returns!D24=0),MIN(C58,Returns!$C$6*Returns!$C$11/4),0),0)</f>
        <v/>
      </c>
      <c r="E58" s="42">
        <f>IF(Returns!E20=1,D58+Returns!E24*D58*(Returns!E22+$C57/10000)/4-IF(AND(Returns!E20=1,Returns!E24=0),MIN(D58,Returns!$C$6*Returns!$C$11/4),0),0)</f>
        <v/>
      </c>
      <c r="F58" s="42">
        <f>IF(Returns!F20=1,E58+Returns!F24*E58*(Returns!F22+$C57/10000)/4-IF(AND(Returns!F20=1,Returns!F24=0),MIN(E58,Returns!$C$6*Returns!$C$11/4),0),0)</f>
        <v/>
      </c>
      <c r="G58" s="42">
        <f>IF(Returns!G20=1,F58+Returns!G24*F58*(Returns!G22+$C57/10000)/4-IF(AND(Returns!G20=1,Returns!G24=0),MIN(F58,Returns!$C$6*Returns!$C$11/4),0),0)</f>
        <v/>
      </c>
      <c r="H58" s="42">
        <f>IF(Returns!H20=1,G58+Returns!H24*G58*(Returns!H22+$C57/10000)/4-IF(AND(Returns!H20=1,Returns!H24=0),MIN(G58,Returns!$C$6*Returns!$C$11/4),0),0)</f>
        <v/>
      </c>
      <c r="I58" s="42">
        <f>IF(Returns!I20=1,H58+Returns!I24*H58*(Returns!I22+$C57/10000)/4-IF(AND(Returns!I20=1,Returns!I24=0),MIN(H58,Returns!$C$6*Returns!$C$11/4),0),0)</f>
        <v/>
      </c>
      <c r="J58" s="42">
        <f>IF(Returns!J20=1,I58+Returns!J24*I58*(Returns!J22+$C57/10000)/4-IF(AND(Returns!J20=1,Returns!J24=0),MIN(I58,Returns!$C$6*Returns!$C$11/4),0),0)</f>
        <v/>
      </c>
      <c r="K58" s="42">
        <f>IF(Returns!K20=1,J58+Returns!K24*J58*(Returns!K22+$C57/10000)/4-IF(AND(Returns!K20=1,Returns!K24=0),MIN(J58,Returns!$C$6*Returns!$C$11/4),0),0)</f>
        <v/>
      </c>
      <c r="L58" s="42">
        <f>IF(Returns!L20=1,K58+Returns!L24*K58*(Returns!L22+$C57/10000)/4-IF(AND(Returns!L20=1,Returns!L24=0),MIN(K58,Returns!$C$6*Returns!$C$11/4),0),0)</f>
        <v/>
      </c>
      <c r="M58" s="42">
        <f>IF(Returns!M20=1,L58+Returns!M24*L58*(Returns!M22+$C57/10000)/4-IF(AND(Returns!M20=1,Returns!M24=0),MIN(L58,Returns!$C$6*Returns!$C$11/4),0),0)</f>
        <v/>
      </c>
      <c r="N58" s="42">
        <f>IF(Returns!N20=1,M58+Returns!N24*M58*(Returns!N22+$C57/10000)/4-IF(AND(Returns!N20=1,Returns!N24=0),MIN(M58,Returns!$C$6*Returns!$C$11/4),0),0)</f>
        <v/>
      </c>
      <c r="O58" s="42">
        <f>IF(Returns!O20=1,N58+Returns!O24*N58*(Returns!O22+$C57/10000)/4-IF(AND(Returns!O20=1,Returns!O24=0),MIN(N58,Returns!$C$6*Returns!$C$11/4),0),0)</f>
        <v/>
      </c>
      <c r="P58" s="42">
        <f>IF(Returns!P20=1,O58+Returns!P24*O58*(Returns!P22+$C57/10000)/4-IF(AND(Returns!P20=1,Returns!P24=0),MIN(O58,Returns!$C$6*Returns!$C$11/4),0),0)</f>
        <v/>
      </c>
      <c r="Q58" s="42">
        <f>IF(Returns!Q20=1,P58+Returns!Q24*P58*(Returns!Q22+$C57/10000)/4-IF(AND(Returns!Q20=1,Returns!Q24=0),MIN(P58,Returns!$C$6*Returns!$C$11/4),0),0)</f>
        <v/>
      </c>
      <c r="R58" s="42">
        <f>IF(Returns!R20=1,Q58+Returns!R24*Q58*(Returns!R22+$C57/10000)/4-IF(AND(Returns!R20=1,Returns!R24=0),MIN(Q58,Returns!$C$6*Returns!$C$11/4),0),0)</f>
        <v/>
      </c>
      <c r="S58" s="42">
        <f>IF(Returns!S20=1,R58+Returns!S24*R58*(Returns!S22+$C57/10000)/4-IF(AND(Returns!S20=1,Returns!S24=0),MIN(R58,Returns!$C$6*Returns!$C$11/4),0),0)</f>
        <v/>
      </c>
      <c r="T58" s="42">
        <f>IF(Returns!T20=1,S58+Returns!T24*S58*(Returns!T22+$C57/10000)/4-IF(AND(Returns!T20=1,Returns!T24=0),MIN(S58,Returns!$C$6*Returns!$C$11/4),0),0)</f>
        <v/>
      </c>
      <c r="U58" s="42">
        <f>IF(Returns!U20=1,T58+Returns!U24*T58*(Returns!U22+$C57/10000)/4-IF(AND(Returns!U20=1,Returns!U24=0),MIN(T58,Returns!$C$6*Returns!$C$11/4),0),0)</f>
        <v/>
      </c>
      <c r="V58" s="42">
        <f>IF(Returns!V20=1,U58+Returns!V24*U58*(Returns!V22+$C57/10000)/4-IF(AND(Returns!V20=1,Returns!V24=0),MIN(U58,Returns!$C$6*Returns!$C$11/4),0),0)</f>
        <v/>
      </c>
      <c r="W58" s="42">
        <f>IF(Returns!W20=1,V58+Returns!W24*V58*(Returns!W22+$C57/10000)/4-IF(AND(Returns!W20=1,Returns!W24=0),MIN(V58,Returns!$C$6*Returns!$C$11/4),0),0)</f>
        <v/>
      </c>
    </row>
    <row r="59" ht="15" customHeight="1" s="31">
      <c r="B59" s="35" t="inlineStr">
        <is>
          <t>Financing line ending balance (before exit payoff)</t>
        </is>
      </c>
      <c r="C59" s="42">
        <f>$F57</f>
        <v/>
      </c>
      <c r="D59" s="42">
        <f>IF(Returns!D20=1,C59-$F57*IF(AND(Returns!D20=1,Returns!D24=0),MIN(C58,Returns!$C$6*Returns!$C$11/4),0)/Returns!$C$6,0)</f>
        <v/>
      </c>
      <c r="E59" s="42">
        <f>IF(Returns!E20=1,D59-$F57*IF(AND(Returns!E20=1,Returns!E24=0),MIN(D58,Returns!$C$6*Returns!$C$11/4),0)/Returns!$C$6,0)</f>
        <v/>
      </c>
      <c r="F59" s="42">
        <f>IF(Returns!F20=1,E59-$F57*IF(AND(Returns!F20=1,Returns!F24=0),MIN(E58,Returns!$C$6*Returns!$C$11/4),0)/Returns!$C$6,0)</f>
        <v/>
      </c>
      <c r="G59" s="42">
        <f>IF(Returns!G20=1,F59-$F57*IF(AND(Returns!G20=1,Returns!G24=0),MIN(F58,Returns!$C$6*Returns!$C$11/4),0)/Returns!$C$6,0)</f>
        <v/>
      </c>
      <c r="H59" s="42">
        <f>IF(Returns!H20=1,G59-$F57*IF(AND(Returns!H20=1,Returns!H24=0),MIN(G58,Returns!$C$6*Returns!$C$11/4),0)/Returns!$C$6,0)</f>
        <v/>
      </c>
      <c r="I59" s="42">
        <f>IF(Returns!I20=1,H59-$F57*IF(AND(Returns!I20=1,Returns!I24=0),MIN(H58,Returns!$C$6*Returns!$C$11/4),0)/Returns!$C$6,0)</f>
        <v/>
      </c>
      <c r="J59" s="42">
        <f>IF(Returns!J20=1,I59-$F57*IF(AND(Returns!J20=1,Returns!J24=0),MIN(I58,Returns!$C$6*Returns!$C$11/4),0)/Returns!$C$6,0)</f>
        <v/>
      </c>
      <c r="K59" s="42">
        <f>IF(Returns!K20=1,J59-$F57*IF(AND(Returns!K20=1,Returns!K24=0),MIN(J58,Returns!$C$6*Returns!$C$11/4),0)/Returns!$C$6,0)</f>
        <v/>
      </c>
      <c r="L59" s="42">
        <f>IF(Returns!L20=1,K59-$F57*IF(AND(Returns!L20=1,Returns!L24=0),MIN(K58,Returns!$C$6*Returns!$C$11/4),0)/Returns!$C$6,0)</f>
        <v/>
      </c>
      <c r="M59" s="42">
        <f>IF(Returns!M20=1,L59-$F57*IF(AND(Returns!M20=1,Returns!M24=0),MIN(L58,Returns!$C$6*Returns!$C$11/4),0)/Returns!$C$6,0)</f>
        <v/>
      </c>
      <c r="N59" s="42">
        <f>IF(Returns!N20=1,M59-$F57*IF(AND(Returns!N20=1,Returns!N24=0),MIN(M58,Returns!$C$6*Returns!$C$11/4),0)/Returns!$C$6,0)</f>
        <v/>
      </c>
      <c r="O59" s="42">
        <f>IF(Returns!O20=1,N59-$F57*IF(AND(Returns!O20=1,Returns!O24=0),MIN(N58,Returns!$C$6*Returns!$C$11/4),0)/Returns!$C$6,0)</f>
        <v/>
      </c>
      <c r="P59" s="42">
        <f>IF(Returns!P20=1,O59-$F57*IF(AND(Returns!P20=1,Returns!P24=0),MIN(O58,Returns!$C$6*Returns!$C$11/4),0)/Returns!$C$6,0)</f>
        <v/>
      </c>
      <c r="Q59" s="42">
        <f>IF(Returns!Q20=1,P59-$F57*IF(AND(Returns!Q20=1,Returns!Q24=0),MIN(P58,Returns!$C$6*Returns!$C$11/4),0)/Returns!$C$6,0)</f>
        <v/>
      </c>
      <c r="R59" s="42">
        <f>IF(Returns!R20=1,Q59-$F57*IF(AND(Returns!R20=1,Returns!R24=0),MIN(Q58,Returns!$C$6*Returns!$C$11/4),0)/Returns!$C$6,0)</f>
        <v/>
      </c>
      <c r="S59" s="42">
        <f>IF(Returns!S20=1,R59-$F57*IF(AND(Returns!S20=1,Returns!S24=0),MIN(R58,Returns!$C$6*Returns!$C$11/4),0)/Returns!$C$6,0)</f>
        <v/>
      </c>
      <c r="T59" s="42">
        <f>IF(Returns!T20=1,S59-$F57*IF(AND(Returns!T20=1,Returns!T24=0),MIN(S58,Returns!$C$6*Returns!$C$11/4),0)/Returns!$C$6,0)</f>
        <v/>
      </c>
      <c r="U59" s="42">
        <f>IF(Returns!U20=1,T59-$F57*IF(AND(Returns!U20=1,Returns!U24=0),MIN(T58,Returns!$C$6*Returns!$C$11/4),0)/Returns!$C$6,0)</f>
        <v/>
      </c>
      <c r="V59" s="42">
        <f>IF(Returns!V20=1,U59-$F57*IF(AND(Returns!V20=1,Returns!V24=0),MIN(U58,Returns!$C$6*Returns!$C$11/4),0)/Returns!$C$6,0)</f>
        <v/>
      </c>
      <c r="W59" s="42">
        <f>IF(Returns!W20=1,V59-$F57*IF(AND(Returns!W20=1,Returns!W24=0),MIN(V58,Returns!$C$6*Returns!$C$11/4),0)/Returns!$C$6,0)</f>
        <v/>
      </c>
    </row>
    <row r="60" ht="15" customHeight="1" s="31">
      <c r="B60" s="35" t="inlineStr">
        <is>
          <t>Levered net cash flow</t>
        </is>
      </c>
      <c r="C60" s="42">
        <f>-Returns!$C$6*(1-Returns!$D$8)+$F57</f>
        <v/>
      </c>
      <c r="D60" s="42">
        <f>Returns!D20*(1-Returns!D24)*C58*(Returns!D22+$C57/10000)/4+IF(AND(Returns!D20=1,Returns!D24=0),MIN(C58,Returns!$C$6*Returns!$C$11/4),0)+Returns!D21*D58*Returns!$C$12/100-Returns!D20*C59*(Returns!D22+Returns!$I$8/10000)/4-$F57*IF(AND(Returns!D20=1,Returns!D24=0),MIN(C58,Returns!$C$6*Returns!$C$11/4),0)/Returns!$C$6-Returns!D21*D59</f>
        <v/>
      </c>
      <c r="E60" s="42">
        <f>Returns!E20*(1-Returns!E24)*D58*(Returns!E22+$C57/10000)/4+IF(AND(Returns!E20=1,Returns!E24=0),MIN(D58,Returns!$C$6*Returns!$C$11/4),0)+Returns!E21*E58*Returns!$C$12/100-Returns!E20*D59*(Returns!E22+Returns!$I$8/10000)/4-$F57*IF(AND(Returns!E20=1,Returns!E24=0),MIN(D58,Returns!$C$6*Returns!$C$11/4),0)/Returns!$C$6-Returns!E21*E59</f>
        <v/>
      </c>
      <c r="F60" s="42">
        <f>Returns!F20*(1-Returns!F24)*E58*(Returns!F22+$C57/10000)/4+IF(AND(Returns!F20=1,Returns!F24=0),MIN(E58,Returns!$C$6*Returns!$C$11/4),0)+Returns!F21*F58*Returns!$C$12/100-Returns!F20*E59*(Returns!F22+Returns!$I$8/10000)/4-$F57*IF(AND(Returns!F20=1,Returns!F24=0),MIN(E58,Returns!$C$6*Returns!$C$11/4),0)/Returns!$C$6-Returns!F21*F59</f>
        <v/>
      </c>
      <c r="G60" s="42">
        <f>Returns!G20*(1-Returns!G24)*F58*(Returns!G22+$C57/10000)/4+IF(AND(Returns!G20=1,Returns!G24=0),MIN(F58,Returns!$C$6*Returns!$C$11/4),0)+Returns!G21*G58*Returns!$C$12/100-Returns!G20*F59*(Returns!G22+Returns!$I$8/10000)/4-$F57*IF(AND(Returns!G20=1,Returns!G24=0),MIN(F58,Returns!$C$6*Returns!$C$11/4),0)/Returns!$C$6-Returns!G21*G59</f>
        <v/>
      </c>
      <c r="H60" s="42">
        <f>Returns!H20*(1-Returns!H24)*G58*(Returns!H22+$C57/10000)/4+IF(AND(Returns!H20=1,Returns!H24=0),MIN(G58,Returns!$C$6*Returns!$C$11/4),0)+Returns!H21*H58*Returns!$C$12/100-Returns!H20*G59*(Returns!H22+Returns!$I$8/10000)/4-$F57*IF(AND(Returns!H20=1,Returns!H24=0),MIN(G58,Returns!$C$6*Returns!$C$11/4),0)/Returns!$C$6-Returns!H21*H59</f>
        <v/>
      </c>
      <c r="I60" s="42">
        <f>Returns!I20*(1-Returns!I24)*H58*(Returns!I22+$C57/10000)/4+IF(AND(Returns!I20=1,Returns!I24=0),MIN(H58,Returns!$C$6*Returns!$C$11/4),0)+Returns!I21*I58*Returns!$C$12/100-Returns!I20*H59*(Returns!I22+Returns!$I$8/10000)/4-$F57*IF(AND(Returns!I20=1,Returns!I24=0),MIN(H58,Returns!$C$6*Returns!$C$11/4),0)/Returns!$C$6-Returns!I21*I59</f>
        <v/>
      </c>
      <c r="J60" s="42">
        <f>Returns!J20*(1-Returns!J24)*I58*(Returns!J22+$C57/10000)/4+IF(AND(Returns!J20=1,Returns!J24=0),MIN(I58,Returns!$C$6*Returns!$C$11/4),0)+Returns!J21*J58*Returns!$C$12/100-Returns!J20*I59*(Returns!J22+Returns!$I$8/10000)/4-$F57*IF(AND(Returns!J20=1,Returns!J24=0),MIN(I58,Returns!$C$6*Returns!$C$11/4),0)/Returns!$C$6-Returns!J21*J59</f>
        <v/>
      </c>
      <c r="K60" s="42">
        <f>Returns!K20*(1-Returns!K24)*J58*(Returns!K22+$C57/10000)/4+IF(AND(Returns!K20=1,Returns!K24=0),MIN(J58,Returns!$C$6*Returns!$C$11/4),0)+Returns!K21*K58*Returns!$C$12/100-Returns!K20*J59*(Returns!K22+Returns!$I$8/10000)/4-$F57*IF(AND(Returns!K20=1,Returns!K24=0),MIN(J58,Returns!$C$6*Returns!$C$11/4),0)/Returns!$C$6-Returns!K21*K59</f>
        <v/>
      </c>
      <c r="L60" s="42">
        <f>Returns!L20*(1-Returns!L24)*K58*(Returns!L22+$C57/10000)/4+IF(AND(Returns!L20=1,Returns!L24=0),MIN(K58,Returns!$C$6*Returns!$C$11/4),0)+Returns!L21*L58*Returns!$C$12/100-Returns!L20*K59*(Returns!L22+Returns!$I$8/10000)/4-$F57*IF(AND(Returns!L20=1,Returns!L24=0),MIN(K58,Returns!$C$6*Returns!$C$11/4),0)/Returns!$C$6-Returns!L21*L59</f>
        <v/>
      </c>
      <c r="M60" s="42">
        <f>Returns!M20*(1-Returns!M24)*L58*(Returns!M22+$C57/10000)/4+IF(AND(Returns!M20=1,Returns!M24=0),MIN(L58,Returns!$C$6*Returns!$C$11/4),0)+Returns!M21*M58*Returns!$C$12/100-Returns!M20*L59*(Returns!M22+Returns!$I$8/10000)/4-$F57*IF(AND(Returns!M20=1,Returns!M24=0),MIN(L58,Returns!$C$6*Returns!$C$11/4),0)/Returns!$C$6-Returns!M21*M59</f>
        <v/>
      </c>
      <c r="N60" s="42">
        <f>Returns!N20*(1-Returns!N24)*M58*(Returns!N22+$C57/10000)/4+IF(AND(Returns!N20=1,Returns!N24=0),MIN(M58,Returns!$C$6*Returns!$C$11/4),0)+Returns!N21*N58*Returns!$C$12/100-Returns!N20*M59*(Returns!N22+Returns!$I$8/10000)/4-$F57*IF(AND(Returns!N20=1,Returns!N24=0),MIN(M58,Returns!$C$6*Returns!$C$11/4),0)/Returns!$C$6-Returns!N21*N59</f>
        <v/>
      </c>
      <c r="O60" s="42">
        <f>Returns!O20*(1-Returns!O24)*N58*(Returns!O22+$C57/10000)/4+IF(AND(Returns!O20=1,Returns!O24=0),MIN(N58,Returns!$C$6*Returns!$C$11/4),0)+Returns!O21*O58*Returns!$C$12/100-Returns!O20*N59*(Returns!O22+Returns!$I$8/10000)/4-$F57*IF(AND(Returns!O20=1,Returns!O24=0),MIN(N58,Returns!$C$6*Returns!$C$11/4),0)/Returns!$C$6-Returns!O21*O59</f>
        <v/>
      </c>
      <c r="P60" s="42">
        <f>Returns!P20*(1-Returns!P24)*O58*(Returns!P22+$C57/10000)/4+IF(AND(Returns!P20=1,Returns!P24=0),MIN(O58,Returns!$C$6*Returns!$C$11/4),0)+Returns!P21*P58*Returns!$C$12/100-Returns!P20*O59*(Returns!P22+Returns!$I$8/10000)/4-$F57*IF(AND(Returns!P20=1,Returns!P24=0),MIN(O58,Returns!$C$6*Returns!$C$11/4),0)/Returns!$C$6-Returns!P21*P59</f>
        <v/>
      </c>
      <c r="Q60" s="42">
        <f>Returns!Q20*(1-Returns!Q24)*P58*(Returns!Q22+$C57/10000)/4+IF(AND(Returns!Q20=1,Returns!Q24=0),MIN(P58,Returns!$C$6*Returns!$C$11/4),0)+Returns!Q21*Q58*Returns!$C$12/100-Returns!Q20*P59*(Returns!Q22+Returns!$I$8/10000)/4-$F57*IF(AND(Returns!Q20=1,Returns!Q24=0),MIN(P58,Returns!$C$6*Returns!$C$11/4),0)/Returns!$C$6-Returns!Q21*Q59</f>
        <v/>
      </c>
      <c r="R60" s="42">
        <f>Returns!R20*(1-Returns!R24)*Q58*(Returns!R22+$C57/10000)/4+IF(AND(Returns!R20=1,Returns!R24=0),MIN(Q58,Returns!$C$6*Returns!$C$11/4),0)+Returns!R21*R58*Returns!$C$12/100-Returns!R20*Q59*(Returns!R22+Returns!$I$8/10000)/4-$F57*IF(AND(Returns!R20=1,Returns!R24=0),MIN(Q58,Returns!$C$6*Returns!$C$11/4),0)/Returns!$C$6-Returns!R21*R59</f>
        <v/>
      </c>
      <c r="S60" s="42">
        <f>Returns!S20*(1-Returns!S24)*R58*(Returns!S22+$C57/10000)/4+IF(AND(Returns!S20=1,Returns!S24=0),MIN(R58,Returns!$C$6*Returns!$C$11/4),0)+Returns!S21*S58*Returns!$C$12/100-Returns!S20*R59*(Returns!S22+Returns!$I$8/10000)/4-$F57*IF(AND(Returns!S20=1,Returns!S24=0),MIN(R58,Returns!$C$6*Returns!$C$11/4),0)/Returns!$C$6-Returns!S21*S59</f>
        <v/>
      </c>
      <c r="T60" s="42">
        <f>Returns!T20*(1-Returns!T24)*S58*(Returns!T22+$C57/10000)/4+IF(AND(Returns!T20=1,Returns!T24=0),MIN(S58,Returns!$C$6*Returns!$C$11/4),0)+Returns!T21*T58*Returns!$C$12/100-Returns!T20*S59*(Returns!T22+Returns!$I$8/10000)/4-$F57*IF(AND(Returns!T20=1,Returns!T24=0),MIN(S58,Returns!$C$6*Returns!$C$11/4),0)/Returns!$C$6-Returns!T21*T59</f>
        <v/>
      </c>
      <c r="U60" s="42">
        <f>Returns!U20*(1-Returns!U24)*T58*(Returns!U22+$C57/10000)/4+IF(AND(Returns!U20=1,Returns!U24=0),MIN(T58,Returns!$C$6*Returns!$C$11/4),0)+Returns!U21*U58*Returns!$C$12/100-Returns!U20*T59*(Returns!U22+Returns!$I$8/10000)/4-$F57*IF(AND(Returns!U20=1,Returns!U24=0),MIN(T58,Returns!$C$6*Returns!$C$11/4),0)/Returns!$C$6-Returns!U21*U59</f>
        <v/>
      </c>
      <c r="V60" s="42">
        <f>Returns!V20*(1-Returns!V24)*U58*(Returns!V22+$C57/10000)/4+IF(AND(Returns!V20=1,Returns!V24=0),MIN(U58,Returns!$C$6*Returns!$C$11/4),0)+Returns!V21*V58*Returns!$C$12/100-Returns!V20*U59*(Returns!V22+Returns!$I$8/10000)/4-$F57*IF(AND(Returns!V20=1,Returns!V24=0),MIN(U58,Returns!$C$6*Returns!$C$11/4),0)/Returns!$C$6-Returns!V21*V59</f>
        <v/>
      </c>
      <c r="W60" s="42">
        <f>Returns!W20*(1-Returns!W24)*V58*(Returns!W22+$C57/10000)/4+IF(AND(Returns!W20=1,Returns!W24=0),MIN(V58,Returns!$C$6*Returns!$C$11/4),0)+Returns!W21*W58*Returns!$C$12/100-Returns!W20*V59*(Returns!W22+Returns!$I$8/10000)/4-$F57*IF(AND(Returns!W20=1,Returns!W24=0),MIN(V58,Returns!$C$6*Returns!$C$11/4),0)/Returns!$C$6-Returns!W21*W59</f>
        <v/>
      </c>
    </row>
    <row r="62" ht="15" customHeight="1" s="31">
      <c r="B62" s="34" t="inlineStr">
        <is>
          <t>Spread offset +50 bps, leverage 1.25x — parameters (spread, leverage, advance rate, financing at close)</t>
        </is>
      </c>
      <c r="C62" s="45">
        <f>Returns!$C$7+(50)</f>
        <v/>
      </c>
      <c r="D62" s="59" t="n">
        <v>1.25</v>
      </c>
      <c r="E62" s="60">
        <f>D62/(1+D62)</f>
        <v/>
      </c>
      <c r="F62" s="42">
        <f>Returns!$C$6*(1-Returns!$D$8)*E62</f>
        <v/>
      </c>
    </row>
    <row r="63" ht="15" customHeight="1" s="31">
      <c r="B63" s="35" t="inlineStr">
        <is>
          <t>Loan ending balance (before exit payoff)</t>
        </is>
      </c>
      <c r="C63" s="42">
        <f>Returns!$C$6</f>
        <v/>
      </c>
      <c r="D63" s="42">
        <f>IF(Returns!D20=1,C63+Returns!D24*C63*(Returns!D22+$C62/10000)/4-IF(AND(Returns!D20=1,Returns!D24=0),MIN(C63,Returns!$C$6*Returns!$C$11/4),0),0)</f>
        <v/>
      </c>
      <c r="E63" s="42">
        <f>IF(Returns!E20=1,D63+Returns!E24*D63*(Returns!E22+$C62/10000)/4-IF(AND(Returns!E20=1,Returns!E24=0),MIN(D63,Returns!$C$6*Returns!$C$11/4),0),0)</f>
        <v/>
      </c>
      <c r="F63" s="42">
        <f>IF(Returns!F20=1,E63+Returns!F24*E63*(Returns!F22+$C62/10000)/4-IF(AND(Returns!F20=1,Returns!F24=0),MIN(E63,Returns!$C$6*Returns!$C$11/4),0),0)</f>
        <v/>
      </c>
      <c r="G63" s="42">
        <f>IF(Returns!G20=1,F63+Returns!G24*F63*(Returns!G22+$C62/10000)/4-IF(AND(Returns!G20=1,Returns!G24=0),MIN(F63,Returns!$C$6*Returns!$C$11/4),0),0)</f>
        <v/>
      </c>
      <c r="H63" s="42">
        <f>IF(Returns!H20=1,G63+Returns!H24*G63*(Returns!H22+$C62/10000)/4-IF(AND(Returns!H20=1,Returns!H24=0),MIN(G63,Returns!$C$6*Returns!$C$11/4),0),0)</f>
        <v/>
      </c>
      <c r="I63" s="42">
        <f>IF(Returns!I20=1,H63+Returns!I24*H63*(Returns!I22+$C62/10000)/4-IF(AND(Returns!I20=1,Returns!I24=0),MIN(H63,Returns!$C$6*Returns!$C$11/4),0),0)</f>
        <v/>
      </c>
      <c r="J63" s="42">
        <f>IF(Returns!J20=1,I63+Returns!J24*I63*(Returns!J22+$C62/10000)/4-IF(AND(Returns!J20=1,Returns!J24=0),MIN(I63,Returns!$C$6*Returns!$C$11/4),0),0)</f>
        <v/>
      </c>
      <c r="K63" s="42">
        <f>IF(Returns!K20=1,J63+Returns!K24*J63*(Returns!K22+$C62/10000)/4-IF(AND(Returns!K20=1,Returns!K24=0),MIN(J63,Returns!$C$6*Returns!$C$11/4),0),0)</f>
        <v/>
      </c>
      <c r="L63" s="42">
        <f>IF(Returns!L20=1,K63+Returns!L24*K63*(Returns!L22+$C62/10000)/4-IF(AND(Returns!L20=1,Returns!L24=0),MIN(K63,Returns!$C$6*Returns!$C$11/4),0),0)</f>
        <v/>
      </c>
      <c r="M63" s="42">
        <f>IF(Returns!M20=1,L63+Returns!M24*L63*(Returns!M22+$C62/10000)/4-IF(AND(Returns!M20=1,Returns!M24=0),MIN(L63,Returns!$C$6*Returns!$C$11/4),0),0)</f>
        <v/>
      </c>
      <c r="N63" s="42">
        <f>IF(Returns!N20=1,M63+Returns!N24*M63*(Returns!N22+$C62/10000)/4-IF(AND(Returns!N20=1,Returns!N24=0),MIN(M63,Returns!$C$6*Returns!$C$11/4),0),0)</f>
        <v/>
      </c>
      <c r="O63" s="42">
        <f>IF(Returns!O20=1,N63+Returns!O24*N63*(Returns!O22+$C62/10000)/4-IF(AND(Returns!O20=1,Returns!O24=0),MIN(N63,Returns!$C$6*Returns!$C$11/4),0),0)</f>
        <v/>
      </c>
      <c r="P63" s="42">
        <f>IF(Returns!P20=1,O63+Returns!P24*O63*(Returns!P22+$C62/10000)/4-IF(AND(Returns!P20=1,Returns!P24=0),MIN(O63,Returns!$C$6*Returns!$C$11/4),0),0)</f>
        <v/>
      </c>
      <c r="Q63" s="42">
        <f>IF(Returns!Q20=1,P63+Returns!Q24*P63*(Returns!Q22+$C62/10000)/4-IF(AND(Returns!Q20=1,Returns!Q24=0),MIN(P63,Returns!$C$6*Returns!$C$11/4),0),0)</f>
        <v/>
      </c>
      <c r="R63" s="42">
        <f>IF(Returns!R20=1,Q63+Returns!R24*Q63*(Returns!R22+$C62/10000)/4-IF(AND(Returns!R20=1,Returns!R24=0),MIN(Q63,Returns!$C$6*Returns!$C$11/4),0),0)</f>
        <v/>
      </c>
      <c r="S63" s="42">
        <f>IF(Returns!S20=1,R63+Returns!S24*R63*(Returns!S22+$C62/10000)/4-IF(AND(Returns!S20=1,Returns!S24=0),MIN(R63,Returns!$C$6*Returns!$C$11/4),0),0)</f>
        <v/>
      </c>
      <c r="T63" s="42">
        <f>IF(Returns!T20=1,S63+Returns!T24*S63*(Returns!T22+$C62/10000)/4-IF(AND(Returns!T20=1,Returns!T24=0),MIN(S63,Returns!$C$6*Returns!$C$11/4),0),0)</f>
        <v/>
      </c>
      <c r="U63" s="42">
        <f>IF(Returns!U20=1,T63+Returns!U24*T63*(Returns!U22+$C62/10000)/4-IF(AND(Returns!U20=1,Returns!U24=0),MIN(T63,Returns!$C$6*Returns!$C$11/4),0),0)</f>
        <v/>
      </c>
      <c r="V63" s="42">
        <f>IF(Returns!V20=1,U63+Returns!V24*U63*(Returns!V22+$C62/10000)/4-IF(AND(Returns!V20=1,Returns!V24=0),MIN(U63,Returns!$C$6*Returns!$C$11/4),0),0)</f>
        <v/>
      </c>
      <c r="W63" s="42">
        <f>IF(Returns!W20=1,V63+Returns!W24*V63*(Returns!W22+$C62/10000)/4-IF(AND(Returns!W20=1,Returns!W24=0),MIN(V63,Returns!$C$6*Returns!$C$11/4),0),0)</f>
        <v/>
      </c>
    </row>
    <row r="64" ht="15" customHeight="1" s="31">
      <c r="B64" s="35" t="inlineStr">
        <is>
          <t>Financing line ending balance (before exit payoff)</t>
        </is>
      </c>
      <c r="C64" s="42">
        <f>$F62</f>
        <v/>
      </c>
      <c r="D64" s="42">
        <f>IF(Returns!D20=1,C64-$F62*IF(AND(Returns!D20=1,Returns!D24=0),MIN(C63,Returns!$C$6*Returns!$C$11/4),0)/Returns!$C$6,0)</f>
        <v/>
      </c>
      <c r="E64" s="42">
        <f>IF(Returns!E20=1,D64-$F62*IF(AND(Returns!E20=1,Returns!E24=0),MIN(D63,Returns!$C$6*Returns!$C$11/4),0)/Returns!$C$6,0)</f>
        <v/>
      </c>
      <c r="F64" s="42">
        <f>IF(Returns!F20=1,E64-$F62*IF(AND(Returns!F20=1,Returns!F24=0),MIN(E63,Returns!$C$6*Returns!$C$11/4),0)/Returns!$C$6,0)</f>
        <v/>
      </c>
      <c r="G64" s="42">
        <f>IF(Returns!G20=1,F64-$F62*IF(AND(Returns!G20=1,Returns!G24=0),MIN(F63,Returns!$C$6*Returns!$C$11/4),0)/Returns!$C$6,0)</f>
        <v/>
      </c>
      <c r="H64" s="42">
        <f>IF(Returns!H20=1,G64-$F62*IF(AND(Returns!H20=1,Returns!H24=0),MIN(G63,Returns!$C$6*Returns!$C$11/4),0)/Returns!$C$6,0)</f>
        <v/>
      </c>
      <c r="I64" s="42">
        <f>IF(Returns!I20=1,H64-$F62*IF(AND(Returns!I20=1,Returns!I24=0),MIN(H63,Returns!$C$6*Returns!$C$11/4),0)/Returns!$C$6,0)</f>
        <v/>
      </c>
      <c r="J64" s="42">
        <f>IF(Returns!J20=1,I64-$F62*IF(AND(Returns!J20=1,Returns!J24=0),MIN(I63,Returns!$C$6*Returns!$C$11/4),0)/Returns!$C$6,0)</f>
        <v/>
      </c>
      <c r="K64" s="42">
        <f>IF(Returns!K20=1,J64-$F62*IF(AND(Returns!K20=1,Returns!K24=0),MIN(J63,Returns!$C$6*Returns!$C$11/4),0)/Returns!$C$6,0)</f>
        <v/>
      </c>
      <c r="L64" s="42">
        <f>IF(Returns!L20=1,K64-$F62*IF(AND(Returns!L20=1,Returns!L24=0),MIN(K63,Returns!$C$6*Returns!$C$11/4),0)/Returns!$C$6,0)</f>
        <v/>
      </c>
      <c r="M64" s="42">
        <f>IF(Returns!M20=1,L64-$F62*IF(AND(Returns!M20=1,Returns!M24=0),MIN(L63,Returns!$C$6*Returns!$C$11/4),0)/Returns!$C$6,0)</f>
        <v/>
      </c>
      <c r="N64" s="42">
        <f>IF(Returns!N20=1,M64-$F62*IF(AND(Returns!N20=1,Returns!N24=0),MIN(M63,Returns!$C$6*Returns!$C$11/4),0)/Returns!$C$6,0)</f>
        <v/>
      </c>
      <c r="O64" s="42">
        <f>IF(Returns!O20=1,N64-$F62*IF(AND(Returns!O20=1,Returns!O24=0),MIN(N63,Returns!$C$6*Returns!$C$11/4),0)/Returns!$C$6,0)</f>
        <v/>
      </c>
      <c r="P64" s="42">
        <f>IF(Returns!P20=1,O64-$F62*IF(AND(Returns!P20=1,Returns!P24=0),MIN(O63,Returns!$C$6*Returns!$C$11/4),0)/Returns!$C$6,0)</f>
        <v/>
      </c>
      <c r="Q64" s="42">
        <f>IF(Returns!Q20=1,P64-$F62*IF(AND(Returns!Q20=1,Returns!Q24=0),MIN(P63,Returns!$C$6*Returns!$C$11/4),0)/Returns!$C$6,0)</f>
        <v/>
      </c>
      <c r="R64" s="42">
        <f>IF(Returns!R20=1,Q64-$F62*IF(AND(Returns!R20=1,Returns!R24=0),MIN(Q63,Returns!$C$6*Returns!$C$11/4),0)/Returns!$C$6,0)</f>
        <v/>
      </c>
      <c r="S64" s="42">
        <f>IF(Returns!S20=1,R64-$F62*IF(AND(Returns!S20=1,Returns!S24=0),MIN(R63,Returns!$C$6*Returns!$C$11/4),0)/Returns!$C$6,0)</f>
        <v/>
      </c>
      <c r="T64" s="42">
        <f>IF(Returns!T20=1,S64-$F62*IF(AND(Returns!T20=1,Returns!T24=0),MIN(S63,Returns!$C$6*Returns!$C$11/4),0)/Returns!$C$6,0)</f>
        <v/>
      </c>
      <c r="U64" s="42">
        <f>IF(Returns!U20=1,T64-$F62*IF(AND(Returns!U20=1,Returns!U24=0),MIN(T63,Returns!$C$6*Returns!$C$11/4),0)/Returns!$C$6,0)</f>
        <v/>
      </c>
      <c r="V64" s="42">
        <f>IF(Returns!V20=1,U64-$F62*IF(AND(Returns!V20=1,Returns!V24=0),MIN(U63,Returns!$C$6*Returns!$C$11/4),0)/Returns!$C$6,0)</f>
        <v/>
      </c>
      <c r="W64" s="42">
        <f>IF(Returns!W20=1,V64-$F62*IF(AND(Returns!W20=1,Returns!W24=0),MIN(V63,Returns!$C$6*Returns!$C$11/4),0)/Returns!$C$6,0)</f>
        <v/>
      </c>
    </row>
    <row r="65" ht="15" customHeight="1" s="31">
      <c r="B65" s="35" t="inlineStr">
        <is>
          <t>Levered net cash flow</t>
        </is>
      </c>
      <c r="C65" s="42">
        <f>-Returns!$C$6*(1-Returns!$D$8)+$F62</f>
        <v/>
      </c>
      <c r="D65" s="42">
        <f>Returns!D20*(1-Returns!D24)*C63*(Returns!D22+$C62/10000)/4+IF(AND(Returns!D20=1,Returns!D24=0),MIN(C63,Returns!$C$6*Returns!$C$11/4),0)+Returns!D21*D63*Returns!$C$12/100-Returns!D20*C64*(Returns!D22+Returns!$I$8/10000)/4-$F62*IF(AND(Returns!D20=1,Returns!D24=0),MIN(C63,Returns!$C$6*Returns!$C$11/4),0)/Returns!$C$6-Returns!D21*D64</f>
        <v/>
      </c>
      <c r="E65" s="42">
        <f>Returns!E20*(1-Returns!E24)*D63*(Returns!E22+$C62/10000)/4+IF(AND(Returns!E20=1,Returns!E24=0),MIN(D63,Returns!$C$6*Returns!$C$11/4),0)+Returns!E21*E63*Returns!$C$12/100-Returns!E20*D64*(Returns!E22+Returns!$I$8/10000)/4-$F62*IF(AND(Returns!E20=1,Returns!E24=0),MIN(D63,Returns!$C$6*Returns!$C$11/4),0)/Returns!$C$6-Returns!E21*E64</f>
        <v/>
      </c>
      <c r="F65" s="42">
        <f>Returns!F20*(1-Returns!F24)*E63*(Returns!F22+$C62/10000)/4+IF(AND(Returns!F20=1,Returns!F24=0),MIN(E63,Returns!$C$6*Returns!$C$11/4),0)+Returns!F21*F63*Returns!$C$12/100-Returns!F20*E64*(Returns!F22+Returns!$I$8/10000)/4-$F62*IF(AND(Returns!F20=1,Returns!F24=0),MIN(E63,Returns!$C$6*Returns!$C$11/4),0)/Returns!$C$6-Returns!F21*F64</f>
        <v/>
      </c>
      <c r="G65" s="42">
        <f>Returns!G20*(1-Returns!G24)*F63*(Returns!G22+$C62/10000)/4+IF(AND(Returns!G20=1,Returns!G24=0),MIN(F63,Returns!$C$6*Returns!$C$11/4),0)+Returns!G21*G63*Returns!$C$12/100-Returns!G20*F64*(Returns!G22+Returns!$I$8/10000)/4-$F62*IF(AND(Returns!G20=1,Returns!G24=0),MIN(F63,Returns!$C$6*Returns!$C$11/4),0)/Returns!$C$6-Returns!G21*G64</f>
        <v/>
      </c>
      <c r="H65" s="42">
        <f>Returns!H20*(1-Returns!H24)*G63*(Returns!H22+$C62/10000)/4+IF(AND(Returns!H20=1,Returns!H24=0),MIN(G63,Returns!$C$6*Returns!$C$11/4),0)+Returns!H21*H63*Returns!$C$12/100-Returns!H20*G64*(Returns!H22+Returns!$I$8/10000)/4-$F62*IF(AND(Returns!H20=1,Returns!H24=0),MIN(G63,Returns!$C$6*Returns!$C$11/4),0)/Returns!$C$6-Returns!H21*H64</f>
        <v/>
      </c>
      <c r="I65" s="42">
        <f>Returns!I20*(1-Returns!I24)*H63*(Returns!I22+$C62/10000)/4+IF(AND(Returns!I20=1,Returns!I24=0),MIN(H63,Returns!$C$6*Returns!$C$11/4),0)+Returns!I21*I63*Returns!$C$12/100-Returns!I20*H64*(Returns!I22+Returns!$I$8/10000)/4-$F62*IF(AND(Returns!I20=1,Returns!I24=0),MIN(H63,Returns!$C$6*Returns!$C$11/4),0)/Returns!$C$6-Returns!I21*I64</f>
        <v/>
      </c>
      <c r="J65" s="42">
        <f>Returns!J20*(1-Returns!J24)*I63*(Returns!J22+$C62/10000)/4+IF(AND(Returns!J20=1,Returns!J24=0),MIN(I63,Returns!$C$6*Returns!$C$11/4),0)+Returns!J21*J63*Returns!$C$12/100-Returns!J20*I64*(Returns!J22+Returns!$I$8/10000)/4-$F62*IF(AND(Returns!J20=1,Returns!J24=0),MIN(I63,Returns!$C$6*Returns!$C$11/4),0)/Returns!$C$6-Returns!J21*J64</f>
        <v/>
      </c>
      <c r="K65" s="42">
        <f>Returns!K20*(1-Returns!K24)*J63*(Returns!K22+$C62/10000)/4+IF(AND(Returns!K20=1,Returns!K24=0),MIN(J63,Returns!$C$6*Returns!$C$11/4),0)+Returns!K21*K63*Returns!$C$12/100-Returns!K20*J64*(Returns!K22+Returns!$I$8/10000)/4-$F62*IF(AND(Returns!K20=1,Returns!K24=0),MIN(J63,Returns!$C$6*Returns!$C$11/4),0)/Returns!$C$6-Returns!K21*K64</f>
        <v/>
      </c>
      <c r="L65" s="42">
        <f>Returns!L20*(1-Returns!L24)*K63*(Returns!L22+$C62/10000)/4+IF(AND(Returns!L20=1,Returns!L24=0),MIN(K63,Returns!$C$6*Returns!$C$11/4),0)+Returns!L21*L63*Returns!$C$12/100-Returns!L20*K64*(Returns!L22+Returns!$I$8/10000)/4-$F62*IF(AND(Returns!L20=1,Returns!L24=0),MIN(K63,Returns!$C$6*Returns!$C$11/4),0)/Returns!$C$6-Returns!L21*L64</f>
        <v/>
      </c>
      <c r="M65" s="42">
        <f>Returns!M20*(1-Returns!M24)*L63*(Returns!M22+$C62/10000)/4+IF(AND(Returns!M20=1,Returns!M24=0),MIN(L63,Returns!$C$6*Returns!$C$11/4),0)+Returns!M21*M63*Returns!$C$12/100-Returns!M20*L64*(Returns!M22+Returns!$I$8/10000)/4-$F62*IF(AND(Returns!M20=1,Returns!M24=0),MIN(L63,Returns!$C$6*Returns!$C$11/4),0)/Returns!$C$6-Returns!M21*M64</f>
        <v/>
      </c>
      <c r="N65" s="42">
        <f>Returns!N20*(1-Returns!N24)*M63*(Returns!N22+$C62/10000)/4+IF(AND(Returns!N20=1,Returns!N24=0),MIN(M63,Returns!$C$6*Returns!$C$11/4),0)+Returns!N21*N63*Returns!$C$12/100-Returns!N20*M64*(Returns!N22+Returns!$I$8/10000)/4-$F62*IF(AND(Returns!N20=1,Returns!N24=0),MIN(M63,Returns!$C$6*Returns!$C$11/4),0)/Returns!$C$6-Returns!N21*N64</f>
        <v/>
      </c>
      <c r="O65" s="42">
        <f>Returns!O20*(1-Returns!O24)*N63*(Returns!O22+$C62/10000)/4+IF(AND(Returns!O20=1,Returns!O24=0),MIN(N63,Returns!$C$6*Returns!$C$11/4),0)+Returns!O21*O63*Returns!$C$12/100-Returns!O20*N64*(Returns!O22+Returns!$I$8/10000)/4-$F62*IF(AND(Returns!O20=1,Returns!O24=0),MIN(N63,Returns!$C$6*Returns!$C$11/4),0)/Returns!$C$6-Returns!O21*O64</f>
        <v/>
      </c>
      <c r="P65" s="42">
        <f>Returns!P20*(1-Returns!P24)*O63*(Returns!P22+$C62/10000)/4+IF(AND(Returns!P20=1,Returns!P24=0),MIN(O63,Returns!$C$6*Returns!$C$11/4),0)+Returns!P21*P63*Returns!$C$12/100-Returns!P20*O64*(Returns!P22+Returns!$I$8/10000)/4-$F62*IF(AND(Returns!P20=1,Returns!P24=0),MIN(O63,Returns!$C$6*Returns!$C$11/4),0)/Returns!$C$6-Returns!P21*P64</f>
        <v/>
      </c>
      <c r="Q65" s="42">
        <f>Returns!Q20*(1-Returns!Q24)*P63*(Returns!Q22+$C62/10000)/4+IF(AND(Returns!Q20=1,Returns!Q24=0),MIN(P63,Returns!$C$6*Returns!$C$11/4),0)+Returns!Q21*Q63*Returns!$C$12/100-Returns!Q20*P64*(Returns!Q22+Returns!$I$8/10000)/4-$F62*IF(AND(Returns!Q20=1,Returns!Q24=0),MIN(P63,Returns!$C$6*Returns!$C$11/4),0)/Returns!$C$6-Returns!Q21*Q64</f>
        <v/>
      </c>
      <c r="R65" s="42">
        <f>Returns!R20*(1-Returns!R24)*Q63*(Returns!R22+$C62/10000)/4+IF(AND(Returns!R20=1,Returns!R24=0),MIN(Q63,Returns!$C$6*Returns!$C$11/4),0)+Returns!R21*R63*Returns!$C$12/100-Returns!R20*Q64*(Returns!R22+Returns!$I$8/10000)/4-$F62*IF(AND(Returns!R20=1,Returns!R24=0),MIN(Q63,Returns!$C$6*Returns!$C$11/4),0)/Returns!$C$6-Returns!R21*R64</f>
        <v/>
      </c>
      <c r="S65" s="42">
        <f>Returns!S20*(1-Returns!S24)*R63*(Returns!S22+$C62/10000)/4+IF(AND(Returns!S20=1,Returns!S24=0),MIN(R63,Returns!$C$6*Returns!$C$11/4),0)+Returns!S21*S63*Returns!$C$12/100-Returns!S20*R64*(Returns!S22+Returns!$I$8/10000)/4-$F62*IF(AND(Returns!S20=1,Returns!S24=0),MIN(R63,Returns!$C$6*Returns!$C$11/4),0)/Returns!$C$6-Returns!S21*S64</f>
        <v/>
      </c>
      <c r="T65" s="42">
        <f>Returns!T20*(1-Returns!T24)*S63*(Returns!T22+$C62/10000)/4+IF(AND(Returns!T20=1,Returns!T24=0),MIN(S63,Returns!$C$6*Returns!$C$11/4),0)+Returns!T21*T63*Returns!$C$12/100-Returns!T20*S64*(Returns!T22+Returns!$I$8/10000)/4-$F62*IF(AND(Returns!T20=1,Returns!T24=0),MIN(S63,Returns!$C$6*Returns!$C$11/4),0)/Returns!$C$6-Returns!T21*T64</f>
        <v/>
      </c>
      <c r="U65" s="42">
        <f>Returns!U20*(1-Returns!U24)*T63*(Returns!U22+$C62/10000)/4+IF(AND(Returns!U20=1,Returns!U24=0),MIN(T63,Returns!$C$6*Returns!$C$11/4),0)+Returns!U21*U63*Returns!$C$12/100-Returns!U20*T64*(Returns!U22+Returns!$I$8/10000)/4-$F62*IF(AND(Returns!U20=1,Returns!U24=0),MIN(T63,Returns!$C$6*Returns!$C$11/4),0)/Returns!$C$6-Returns!U21*U64</f>
        <v/>
      </c>
      <c r="V65" s="42">
        <f>Returns!V20*(1-Returns!V24)*U63*(Returns!V22+$C62/10000)/4+IF(AND(Returns!V20=1,Returns!V24=0),MIN(U63,Returns!$C$6*Returns!$C$11/4),0)+Returns!V21*V63*Returns!$C$12/100-Returns!V20*U64*(Returns!V22+Returns!$I$8/10000)/4-$F62*IF(AND(Returns!V20=1,Returns!V24=0),MIN(U63,Returns!$C$6*Returns!$C$11/4),0)/Returns!$C$6-Returns!V21*V64</f>
        <v/>
      </c>
      <c r="W65" s="42">
        <f>Returns!W20*(1-Returns!W24)*V63*(Returns!W22+$C62/10000)/4+IF(AND(Returns!W20=1,Returns!W24=0),MIN(V63,Returns!$C$6*Returns!$C$11/4),0)+Returns!W21*W63*Returns!$C$12/100-Returns!W20*V64*(Returns!W22+Returns!$I$8/10000)/4-$F62*IF(AND(Returns!W20=1,Returns!W24=0),MIN(V63,Returns!$C$6*Returns!$C$11/4),0)/Returns!$C$6-Returns!W21*W64</f>
        <v/>
      </c>
    </row>
    <row r="67" ht="15" customHeight="1" s="31">
      <c r="B67" s="34" t="inlineStr">
        <is>
          <t>Spread offset +100 bps, leverage 0.75x — parameters (spread, leverage, advance rate, financing at close)</t>
        </is>
      </c>
      <c r="C67" s="45">
        <f>Returns!$C$7+(100)</f>
        <v/>
      </c>
      <c r="D67" s="59" t="n">
        <v>0.75</v>
      </c>
      <c r="E67" s="60">
        <f>D67/(1+D67)</f>
        <v/>
      </c>
      <c r="F67" s="42">
        <f>Returns!$C$6*(1-Returns!$D$8)*E67</f>
        <v/>
      </c>
    </row>
    <row r="68" ht="15" customHeight="1" s="31">
      <c r="B68" s="35" t="inlineStr">
        <is>
          <t>Loan ending balance (before exit payoff)</t>
        </is>
      </c>
      <c r="C68" s="42">
        <f>Returns!$C$6</f>
        <v/>
      </c>
      <c r="D68" s="42">
        <f>IF(Returns!D20=1,C68+Returns!D24*C68*(Returns!D22+$C67/10000)/4-IF(AND(Returns!D20=1,Returns!D24=0),MIN(C68,Returns!$C$6*Returns!$C$11/4),0),0)</f>
        <v/>
      </c>
      <c r="E68" s="42">
        <f>IF(Returns!E20=1,D68+Returns!E24*D68*(Returns!E22+$C67/10000)/4-IF(AND(Returns!E20=1,Returns!E24=0),MIN(D68,Returns!$C$6*Returns!$C$11/4),0),0)</f>
        <v/>
      </c>
      <c r="F68" s="42">
        <f>IF(Returns!F20=1,E68+Returns!F24*E68*(Returns!F22+$C67/10000)/4-IF(AND(Returns!F20=1,Returns!F24=0),MIN(E68,Returns!$C$6*Returns!$C$11/4),0),0)</f>
        <v/>
      </c>
      <c r="G68" s="42">
        <f>IF(Returns!G20=1,F68+Returns!G24*F68*(Returns!G22+$C67/10000)/4-IF(AND(Returns!G20=1,Returns!G24=0),MIN(F68,Returns!$C$6*Returns!$C$11/4),0),0)</f>
        <v/>
      </c>
      <c r="H68" s="42">
        <f>IF(Returns!H20=1,G68+Returns!H24*G68*(Returns!H22+$C67/10000)/4-IF(AND(Returns!H20=1,Returns!H24=0),MIN(G68,Returns!$C$6*Returns!$C$11/4),0),0)</f>
        <v/>
      </c>
      <c r="I68" s="42">
        <f>IF(Returns!I20=1,H68+Returns!I24*H68*(Returns!I22+$C67/10000)/4-IF(AND(Returns!I20=1,Returns!I24=0),MIN(H68,Returns!$C$6*Returns!$C$11/4),0),0)</f>
        <v/>
      </c>
      <c r="J68" s="42">
        <f>IF(Returns!J20=1,I68+Returns!J24*I68*(Returns!J22+$C67/10000)/4-IF(AND(Returns!J20=1,Returns!J24=0),MIN(I68,Returns!$C$6*Returns!$C$11/4),0),0)</f>
        <v/>
      </c>
      <c r="K68" s="42">
        <f>IF(Returns!K20=1,J68+Returns!K24*J68*(Returns!K22+$C67/10000)/4-IF(AND(Returns!K20=1,Returns!K24=0),MIN(J68,Returns!$C$6*Returns!$C$11/4),0),0)</f>
        <v/>
      </c>
      <c r="L68" s="42">
        <f>IF(Returns!L20=1,K68+Returns!L24*K68*(Returns!L22+$C67/10000)/4-IF(AND(Returns!L20=1,Returns!L24=0),MIN(K68,Returns!$C$6*Returns!$C$11/4),0),0)</f>
        <v/>
      </c>
      <c r="M68" s="42">
        <f>IF(Returns!M20=1,L68+Returns!M24*L68*(Returns!M22+$C67/10000)/4-IF(AND(Returns!M20=1,Returns!M24=0),MIN(L68,Returns!$C$6*Returns!$C$11/4),0),0)</f>
        <v/>
      </c>
      <c r="N68" s="42">
        <f>IF(Returns!N20=1,M68+Returns!N24*M68*(Returns!N22+$C67/10000)/4-IF(AND(Returns!N20=1,Returns!N24=0),MIN(M68,Returns!$C$6*Returns!$C$11/4),0),0)</f>
        <v/>
      </c>
      <c r="O68" s="42">
        <f>IF(Returns!O20=1,N68+Returns!O24*N68*(Returns!O22+$C67/10000)/4-IF(AND(Returns!O20=1,Returns!O24=0),MIN(N68,Returns!$C$6*Returns!$C$11/4),0),0)</f>
        <v/>
      </c>
      <c r="P68" s="42">
        <f>IF(Returns!P20=1,O68+Returns!P24*O68*(Returns!P22+$C67/10000)/4-IF(AND(Returns!P20=1,Returns!P24=0),MIN(O68,Returns!$C$6*Returns!$C$11/4),0),0)</f>
        <v/>
      </c>
      <c r="Q68" s="42">
        <f>IF(Returns!Q20=1,P68+Returns!Q24*P68*(Returns!Q22+$C67/10000)/4-IF(AND(Returns!Q20=1,Returns!Q24=0),MIN(P68,Returns!$C$6*Returns!$C$11/4),0),0)</f>
        <v/>
      </c>
      <c r="R68" s="42">
        <f>IF(Returns!R20=1,Q68+Returns!R24*Q68*(Returns!R22+$C67/10000)/4-IF(AND(Returns!R20=1,Returns!R24=0),MIN(Q68,Returns!$C$6*Returns!$C$11/4),0),0)</f>
        <v/>
      </c>
      <c r="S68" s="42">
        <f>IF(Returns!S20=1,R68+Returns!S24*R68*(Returns!S22+$C67/10000)/4-IF(AND(Returns!S20=1,Returns!S24=0),MIN(R68,Returns!$C$6*Returns!$C$11/4),0),0)</f>
        <v/>
      </c>
      <c r="T68" s="42">
        <f>IF(Returns!T20=1,S68+Returns!T24*S68*(Returns!T22+$C67/10000)/4-IF(AND(Returns!T20=1,Returns!T24=0),MIN(S68,Returns!$C$6*Returns!$C$11/4),0),0)</f>
        <v/>
      </c>
      <c r="U68" s="42">
        <f>IF(Returns!U20=1,T68+Returns!U24*T68*(Returns!U22+$C67/10000)/4-IF(AND(Returns!U20=1,Returns!U24=0),MIN(T68,Returns!$C$6*Returns!$C$11/4),0),0)</f>
        <v/>
      </c>
      <c r="V68" s="42">
        <f>IF(Returns!V20=1,U68+Returns!V24*U68*(Returns!V22+$C67/10000)/4-IF(AND(Returns!V20=1,Returns!V24=0),MIN(U68,Returns!$C$6*Returns!$C$11/4),0),0)</f>
        <v/>
      </c>
      <c r="W68" s="42">
        <f>IF(Returns!W20=1,V68+Returns!W24*V68*(Returns!W22+$C67/10000)/4-IF(AND(Returns!W20=1,Returns!W24=0),MIN(V68,Returns!$C$6*Returns!$C$11/4),0),0)</f>
        <v/>
      </c>
    </row>
    <row r="69" ht="15" customHeight="1" s="31">
      <c r="B69" s="35" t="inlineStr">
        <is>
          <t>Financing line ending balance (before exit payoff)</t>
        </is>
      </c>
      <c r="C69" s="42">
        <f>$F67</f>
        <v/>
      </c>
      <c r="D69" s="42">
        <f>IF(Returns!D20=1,C69-$F67*IF(AND(Returns!D20=1,Returns!D24=0),MIN(C68,Returns!$C$6*Returns!$C$11/4),0)/Returns!$C$6,0)</f>
        <v/>
      </c>
      <c r="E69" s="42">
        <f>IF(Returns!E20=1,D69-$F67*IF(AND(Returns!E20=1,Returns!E24=0),MIN(D68,Returns!$C$6*Returns!$C$11/4),0)/Returns!$C$6,0)</f>
        <v/>
      </c>
      <c r="F69" s="42">
        <f>IF(Returns!F20=1,E69-$F67*IF(AND(Returns!F20=1,Returns!F24=0),MIN(E68,Returns!$C$6*Returns!$C$11/4),0)/Returns!$C$6,0)</f>
        <v/>
      </c>
      <c r="G69" s="42">
        <f>IF(Returns!G20=1,F69-$F67*IF(AND(Returns!G20=1,Returns!G24=0),MIN(F68,Returns!$C$6*Returns!$C$11/4),0)/Returns!$C$6,0)</f>
        <v/>
      </c>
      <c r="H69" s="42">
        <f>IF(Returns!H20=1,G69-$F67*IF(AND(Returns!H20=1,Returns!H24=0),MIN(G68,Returns!$C$6*Returns!$C$11/4),0)/Returns!$C$6,0)</f>
        <v/>
      </c>
      <c r="I69" s="42">
        <f>IF(Returns!I20=1,H69-$F67*IF(AND(Returns!I20=1,Returns!I24=0),MIN(H68,Returns!$C$6*Returns!$C$11/4),0)/Returns!$C$6,0)</f>
        <v/>
      </c>
      <c r="J69" s="42">
        <f>IF(Returns!J20=1,I69-$F67*IF(AND(Returns!J20=1,Returns!J24=0),MIN(I68,Returns!$C$6*Returns!$C$11/4),0)/Returns!$C$6,0)</f>
        <v/>
      </c>
      <c r="K69" s="42">
        <f>IF(Returns!K20=1,J69-$F67*IF(AND(Returns!K20=1,Returns!K24=0),MIN(J68,Returns!$C$6*Returns!$C$11/4),0)/Returns!$C$6,0)</f>
        <v/>
      </c>
      <c r="L69" s="42">
        <f>IF(Returns!L20=1,K69-$F67*IF(AND(Returns!L20=1,Returns!L24=0),MIN(K68,Returns!$C$6*Returns!$C$11/4),0)/Returns!$C$6,0)</f>
        <v/>
      </c>
      <c r="M69" s="42">
        <f>IF(Returns!M20=1,L69-$F67*IF(AND(Returns!M20=1,Returns!M24=0),MIN(L68,Returns!$C$6*Returns!$C$11/4),0)/Returns!$C$6,0)</f>
        <v/>
      </c>
      <c r="N69" s="42">
        <f>IF(Returns!N20=1,M69-$F67*IF(AND(Returns!N20=1,Returns!N24=0),MIN(M68,Returns!$C$6*Returns!$C$11/4),0)/Returns!$C$6,0)</f>
        <v/>
      </c>
      <c r="O69" s="42">
        <f>IF(Returns!O20=1,N69-$F67*IF(AND(Returns!O20=1,Returns!O24=0),MIN(N68,Returns!$C$6*Returns!$C$11/4),0)/Returns!$C$6,0)</f>
        <v/>
      </c>
      <c r="P69" s="42">
        <f>IF(Returns!P20=1,O69-$F67*IF(AND(Returns!P20=1,Returns!P24=0),MIN(O68,Returns!$C$6*Returns!$C$11/4),0)/Returns!$C$6,0)</f>
        <v/>
      </c>
      <c r="Q69" s="42">
        <f>IF(Returns!Q20=1,P69-$F67*IF(AND(Returns!Q20=1,Returns!Q24=0),MIN(P68,Returns!$C$6*Returns!$C$11/4),0)/Returns!$C$6,0)</f>
        <v/>
      </c>
      <c r="R69" s="42">
        <f>IF(Returns!R20=1,Q69-$F67*IF(AND(Returns!R20=1,Returns!R24=0),MIN(Q68,Returns!$C$6*Returns!$C$11/4),0)/Returns!$C$6,0)</f>
        <v/>
      </c>
      <c r="S69" s="42">
        <f>IF(Returns!S20=1,R69-$F67*IF(AND(Returns!S20=1,Returns!S24=0),MIN(R68,Returns!$C$6*Returns!$C$11/4),0)/Returns!$C$6,0)</f>
        <v/>
      </c>
      <c r="T69" s="42">
        <f>IF(Returns!T20=1,S69-$F67*IF(AND(Returns!T20=1,Returns!T24=0),MIN(S68,Returns!$C$6*Returns!$C$11/4),0)/Returns!$C$6,0)</f>
        <v/>
      </c>
      <c r="U69" s="42">
        <f>IF(Returns!U20=1,T69-$F67*IF(AND(Returns!U20=1,Returns!U24=0),MIN(T68,Returns!$C$6*Returns!$C$11/4),0)/Returns!$C$6,0)</f>
        <v/>
      </c>
      <c r="V69" s="42">
        <f>IF(Returns!V20=1,U69-$F67*IF(AND(Returns!V20=1,Returns!V24=0),MIN(U68,Returns!$C$6*Returns!$C$11/4),0)/Returns!$C$6,0)</f>
        <v/>
      </c>
      <c r="W69" s="42">
        <f>IF(Returns!W20=1,V69-$F67*IF(AND(Returns!W20=1,Returns!W24=0),MIN(V68,Returns!$C$6*Returns!$C$11/4),0)/Returns!$C$6,0)</f>
        <v/>
      </c>
    </row>
    <row r="70" ht="15" customHeight="1" s="31">
      <c r="B70" s="35" t="inlineStr">
        <is>
          <t>Levered net cash flow</t>
        </is>
      </c>
      <c r="C70" s="42">
        <f>-Returns!$C$6*(1-Returns!$D$8)+$F67</f>
        <v/>
      </c>
      <c r="D70" s="42">
        <f>Returns!D20*(1-Returns!D24)*C68*(Returns!D22+$C67/10000)/4+IF(AND(Returns!D20=1,Returns!D24=0),MIN(C68,Returns!$C$6*Returns!$C$11/4),0)+Returns!D21*D68*Returns!$C$12/100-Returns!D20*C69*(Returns!D22+Returns!$I$8/10000)/4-$F67*IF(AND(Returns!D20=1,Returns!D24=0),MIN(C68,Returns!$C$6*Returns!$C$11/4),0)/Returns!$C$6-Returns!D21*D69</f>
        <v/>
      </c>
      <c r="E70" s="42">
        <f>Returns!E20*(1-Returns!E24)*D68*(Returns!E22+$C67/10000)/4+IF(AND(Returns!E20=1,Returns!E24=0),MIN(D68,Returns!$C$6*Returns!$C$11/4),0)+Returns!E21*E68*Returns!$C$12/100-Returns!E20*D69*(Returns!E22+Returns!$I$8/10000)/4-$F67*IF(AND(Returns!E20=1,Returns!E24=0),MIN(D68,Returns!$C$6*Returns!$C$11/4),0)/Returns!$C$6-Returns!E21*E69</f>
        <v/>
      </c>
      <c r="F70" s="42">
        <f>Returns!F20*(1-Returns!F24)*E68*(Returns!F22+$C67/10000)/4+IF(AND(Returns!F20=1,Returns!F24=0),MIN(E68,Returns!$C$6*Returns!$C$11/4),0)+Returns!F21*F68*Returns!$C$12/100-Returns!F20*E69*(Returns!F22+Returns!$I$8/10000)/4-$F67*IF(AND(Returns!F20=1,Returns!F24=0),MIN(E68,Returns!$C$6*Returns!$C$11/4),0)/Returns!$C$6-Returns!F21*F69</f>
        <v/>
      </c>
      <c r="G70" s="42">
        <f>Returns!G20*(1-Returns!G24)*F68*(Returns!G22+$C67/10000)/4+IF(AND(Returns!G20=1,Returns!G24=0),MIN(F68,Returns!$C$6*Returns!$C$11/4),0)+Returns!G21*G68*Returns!$C$12/100-Returns!G20*F69*(Returns!G22+Returns!$I$8/10000)/4-$F67*IF(AND(Returns!G20=1,Returns!G24=0),MIN(F68,Returns!$C$6*Returns!$C$11/4),0)/Returns!$C$6-Returns!G21*G69</f>
        <v/>
      </c>
      <c r="H70" s="42">
        <f>Returns!H20*(1-Returns!H24)*G68*(Returns!H22+$C67/10000)/4+IF(AND(Returns!H20=1,Returns!H24=0),MIN(G68,Returns!$C$6*Returns!$C$11/4),0)+Returns!H21*H68*Returns!$C$12/100-Returns!H20*G69*(Returns!H22+Returns!$I$8/10000)/4-$F67*IF(AND(Returns!H20=1,Returns!H24=0),MIN(G68,Returns!$C$6*Returns!$C$11/4),0)/Returns!$C$6-Returns!H21*H69</f>
        <v/>
      </c>
      <c r="I70" s="42">
        <f>Returns!I20*(1-Returns!I24)*H68*(Returns!I22+$C67/10000)/4+IF(AND(Returns!I20=1,Returns!I24=0),MIN(H68,Returns!$C$6*Returns!$C$11/4),0)+Returns!I21*I68*Returns!$C$12/100-Returns!I20*H69*(Returns!I22+Returns!$I$8/10000)/4-$F67*IF(AND(Returns!I20=1,Returns!I24=0),MIN(H68,Returns!$C$6*Returns!$C$11/4),0)/Returns!$C$6-Returns!I21*I69</f>
        <v/>
      </c>
      <c r="J70" s="42">
        <f>Returns!J20*(1-Returns!J24)*I68*(Returns!J22+$C67/10000)/4+IF(AND(Returns!J20=1,Returns!J24=0),MIN(I68,Returns!$C$6*Returns!$C$11/4),0)+Returns!J21*J68*Returns!$C$12/100-Returns!J20*I69*(Returns!J22+Returns!$I$8/10000)/4-$F67*IF(AND(Returns!J20=1,Returns!J24=0),MIN(I68,Returns!$C$6*Returns!$C$11/4),0)/Returns!$C$6-Returns!J21*J69</f>
        <v/>
      </c>
      <c r="K70" s="42">
        <f>Returns!K20*(1-Returns!K24)*J68*(Returns!K22+$C67/10000)/4+IF(AND(Returns!K20=1,Returns!K24=0),MIN(J68,Returns!$C$6*Returns!$C$11/4),0)+Returns!K21*K68*Returns!$C$12/100-Returns!K20*J69*(Returns!K22+Returns!$I$8/10000)/4-$F67*IF(AND(Returns!K20=1,Returns!K24=0),MIN(J68,Returns!$C$6*Returns!$C$11/4),0)/Returns!$C$6-Returns!K21*K69</f>
        <v/>
      </c>
      <c r="L70" s="42">
        <f>Returns!L20*(1-Returns!L24)*K68*(Returns!L22+$C67/10000)/4+IF(AND(Returns!L20=1,Returns!L24=0),MIN(K68,Returns!$C$6*Returns!$C$11/4),0)+Returns!L21*L68*Returns!$C$12/100-Returns!L20*K69*(Returns!L22+Returns!$I$8/10000)/4-$F67*IF(AND(Returns!L20=1,Returns!L24=0),MIN(K68,Returns!$C$6*Returns!$C$11/4),0)/Returns!$C$6-Returns!L21*L69</f>
        <v/>
      </c>
      <c r="M70" s="42">
        <f>Returns!M20*(1-Returns!M24)*L68*(Returns!M22+$C67/10000)/4+IF(AND(Returns!M20=1,Returns!M24=0),MIN(L68,Returns!$C$6*Returns!$C$11/4),0)+Returns!M21*M68*Returns!$C$12/100-Returns!M20*L69*(Returns!M22+Returns!$I$8/10000)/4-$F67*IF(AND(Returns!M20=1,Returns!M24=0),MIN(L68,Returns!$C$6*Returns!$C$11/4),0)/Returns!$C$6-Returns!M21*M69</f>
        <v/>
      </c>
      <c r="N70" s="42">
        <f>Returns!N20*(1-Returns!N24)*M68*(Returns!N22+$C67/10000)/4+IF(AND(Returns!N20=1,Returns!N24=0),MIN(M68,Returns!$C$6*Returns!$C$11/4),0)+Returns!N21*N68*Returns!$C$12/100-Returns!N20*M69*(Returns!N22+Returns!$I$8/10000)/4-$F67*IF(AND(Returns!N20=1,Returns!N24=0),MIN(M68,Returns!$C$6*Returns!$C$11/4),0)/Returns!$C$6-Returns!N21*N69</f>
        <v/>
      </c>
      <c r="O70" s="42">
        <f>Returns!O20*(1-Returns!O24)*N68*(Returns!O22+$C67/10000)/4+IF(AND(Returns!O20=1,Returns!O24=0),MIN(N68,Returns!$C$6*Returns!$C$11/4),0)+Returns!O21*O68*Returns!$C$12/100-Returns!O20*N69*(Returns!O22+Returns!$I$8/10000)/4-$F67*IF(AND(Returns!O20=1,Returns!O24=0),MIN(N68,Returns!$C$6*Returns!$C$11/4),0)/Returns!$C$6-Returns!O21*O69</f>
        <v/>
      </c>
      <c r="P70" s="42">
        <f>Returns!P20*(1-Returns!P24)*O68*(Returns!P22+$C67/10000)/4+IF(AND(Returns!P20=1,Returns!P24=0),MIN(O68,Returns!$C$6*Returns!$C$11/4),0)+Returns!P21*P68*Returns!$C$12/100-Returns!P20*O69*(Returns!P22+Returns!$I$8/10000)/4-$F67*IF(AND(Returns!P20=1,Returns!P24=0),MIN(O68,Returns!$C$6*Returns!$C$11/4),0)/Returns!$C$6-Returns!P21*P69</f>
        <v/>
      </c>
      <c r="Q70" s="42">
        <f>Returns!Q20*(1-Returns!Q24)*P68*(Returns!Q22+$C67/10000)/4+IF(AND(Returns!Q20=1,Returns!Q24=0),MIN(P68,Returns!$C$6*Returns!$C$11/4),0)+Returns!Q21*Q68*Returns!$C$12/100-Returns!Q20*P69*(Returns!Q22+Returns!$I$8/10000)/4-$F67*IF(AND(Returns!Q20=1,Returns!Q24=0),MIN(P68,Returns!$C$6*Returns!$C$11/4),0)/Returns!$C$6-Returns!Q21*Q69</f>
        <v/>
      </c>
      <c r="R70" s="42">
        <f>Returns!R20*(1-Returns!R24)*Q68*(Returns!R22+$C67/10000)/4+IF(AND(Returns!R20=1,Returns!R24=0),MIN(Q68,Returns!$C$6*Returns!$C$11/4),0)+Returns!R21*R68*Returns!$C$12/100-Returns!R20*Q69*(Returns!R22+Returns!$I$8/10000)/4-$F67*IF(AND(Returns!R20=1,Returns!R24=0),MIN(Q68,Returns!$C$6*Returns!$C$11/4),0)/Returns!$C$6-Returns!R21*R69</f>
        <v/>
      </c>
      <c r="S70" s="42">
        <f>Returns!S20*(1-Returns!S24)*R68*(Returns!S22+$C67/10000)/4+IF(AND(Returns!S20=1,Returns!S24=0),MIN(R68,Returns!$C$6*Returns!$C$11/4),0)+Returns!S21*S68*Returns!$C$12/100-Returns!S20*R69*(Returns!S22+Returns!$I$8/10000)/4-$F67*IF(AND(Returns!S20=1,Returns!S24=0),MIN(R68,Returns!$C$6*Returns!$C$11/4),0)/Returns!$C$6-Returns!S21*S69</f>
        <v/>
      </c>
      <c r="T70" s="42">
        <f>Returns!T20*(1-Returns!T24)*S68*(Returns!T22+$C67/10000)/4+IF(AND(Returns!T20=1,Returns!T24=0),MIN(S68,Returns!$C$6*Returns!$C$11/4),0)+Returns!T21*T68*Returns!$C$12/100-Returns!T20*S69*(Returns!T22+Returns!$I$8/10000)/4-$F67*IF(AND(Returns!T20=1,Returns!T24=0),MIN(S68,Returns!$C$6*Returns!$C$11/4),0)/Returns!$C$6-Returns!T21*T69</f>
        <v/>
      </c>
      <c r="U70" s="42">
        <f>Returns!U20*(1-Returns!U24)*T68*(Returns!U22+$C67/10000)/4+IF(AND(Returns!U20=1,Returns!U24=0),MIN(T68,Returns!$C$6*Returns!$C$11/4),0)+Returns!U21*U68*Returns!$C$12/100-Returns!U20*T69*(Returns!U22+Returns!$I$8/10000)/4-$F67*IF(AND(Returns!U20=1,Returns!U24=0),MIN(T68,Returns!$C$6*Returns!$C$11/4),0)/Returns!$C$6-Returns!U21*U69</f>
        <v/>
      </c>
      <c r="V70" s="42">
        <f>Returns!V20*(1-Returns!V24)*U68*(Returns!V22+$C67/10000)/4+IF(AND(Returns!V20=1,Returns!V24=0),MIN(U68,Returns!$C$6*Returns!$C$11/4),0)+Returns!V21*V68*Returns!$C$12/100-Returns!V20*U69*(Returns!V22+Returns!$I$8/10000)/4-$F67*IF(AND(Returns!V20=1,Returns!V24=0),MIN(U68,Returns!$C$6*Returns!$C$11/4),0)/Returns!$C$6-Returns!V21*V69</f>
        <v/>
      </c>
      <c r="W70" s="42">
        <f>Returns!W20*(1-Returns!W24)*V68*(Returns!W22+$C67/10000)/4+IF(AND(Returns!W20=1,Returns!W24=0),MIN(V68,Returns!$C$6*Returns!$C$11/4),0)+Returns!W21*W68*Returns!$C$12/100-Returns!W20*V69*(Returns!W22+Returns!$I$8/10000)/4-$F67*IF(AND(Returns!W20=1,Returns!W24=0),MIN(V68,Returns!$C$6*Returns!$C$11/4),0)/Returns!$C$6-Returns!W21*W69</f>
        <v/>
      </c>
    </row>
    <row r="72" ht="15" customHeight="1" s="31">
      <c r="B72" s="34" t="inlineStr">
        <is>
          <t>Spread offset +100 bps, leverage 1.00x — parameters (spread, leverage, advance rate, financing at close)</t>
        </is>
      </c>
      <c r="C72" s="45">
        <f>Returns!$C$7+(100)</f>
        <v/>
      </c>
      <c r="D72" s="59" t="n">
        <v>1</v>
      </c>
      <c r="E72" s="60">
        <f>D72/(1+D72)</f>
        <v/>
      </c>
      <c r="F72" s="42">
        <f>Returns!$C$6*(1-Returns!$D$8)*E72</f>
        <v/>
      </c>
    </row>
    <row r="73" ht="15" customHeight="1" s="31">
      <c r="B73" s="35" t="inlineStr">
        <is>
          <t>Loan ending balance (before exit payoff)</t>
        </is>
      </c>
      <c r="C73" s="42">
        <f>Returns!$C$6</f>
        <v/>
      </c>
      <c r="D73" s="42">
        <f>IF(Returns!D20=1,C73+Returns!D24*C73*(Returns!D22+$C72/10000)/4-IF(AND(Returns!D20=1,Returns!D24=0),MIN(C73,Returns!$C$6*Returns!$C$11/4),0),0)</f>
        <v/>
      </c>
      <c r="E73" s="42">
        <f>IF(Returns!E20=1,D73+Returns!E24*D73*(Returns!E22+$C72/10000)/4-IF(AND(Returns!E20=1,Returns!E24=0),MIN(D73,Returns!$C$6*Returns!$C$11/4),0),0)</f>
        <v/>
      </c>
      <c r="F73" s="42">
        <f>IF(Returns!F20=1,E73+Returns!F24*E73*(Returns!F22+$C72/10000)/4-IF(AND(Returns!F20=1,Returns!F24=0),MIN(E73,Returns!$C$6*Returns!$C$11/4),0),0)</f>
        <v/>
      </c>
      <c r="G73" s="42">
        <f>IF(Returns!G20=1,F73+Returns!G24*F73*(Returns!G22+$C72/10000)/4-IF(AND(Returns!G20=1,Returns!G24=0),MIN(F73,Returns!$C$6*Returns!$C$11/4),0),0)</f>
        <v/>
      </c>
      <c r="H73" s="42">
        <f>IF(Returns!H20=1,G73+Returns!H24*G73*(Returns!H22+$C72/10000)/4-IF(AND(Returns!H20=1,Returns!H24=0),MIN(G73,Returns!$C$6*Returns!$C$11/4),0),0)</f>
        <v/>
      </c>
      <c r="I73" s="42">
        <f>IF(Returns!I20=1,H73+Returns!I24*H73*(Returns!I22+$C72/10000)/4-IF(AND(Returns!I20=1,Returns!I24=0),MIN(H73,Returns!$C$6*Returns!$C$11/4),0),0)</f>
        <v/>
      </c>
      <c r="J73" s="42">
        <f>IF(Returns!J20=1,I73+Returns!J24*I73*(Returns!J22+$C72/10000)/4-IF(AND(Returns!J20=1,Returns!J24=0),MIN(I73,Returns!$C$6*Returns!$C$11/4),0),0)</f>
        <v/>
      </c>
      <c r="K73" s="42">
        <f>IF(Returns!K20=1,J73+Returns!K24*J73*(Returns!K22+$C72/10000)/4-IF(AND(Returns!K20=1,Returns!K24=0),MIN(J73,Returns!$C$6*Returns!$C$11/4),0),0)</f>
        <v/>
      </c>
      <c r="L73" s="42">
        <f>IF(Returns!L20=1,K73+Returns!L24*K73*(Returns!L22+$C72/10000)/4-IF(AND(Returns!L20=1,Returns!L24=0),MIN(K73,Returns!$C$6*Returns!$C$11/4),0),0)</f>
        <v/>
      </c>
      <c r="M73" s="42">
        <f>IF(Returns!M20=1,L73+Returns!M24*L73*(Returns!M22+$C72/10000)/4-IF(AND(Returns!M20=1,Returns!M24=0),MIN(L73,Returns!$C$6*Returns!$C$11/4),0),0)</f>
        <v/>
      </c>
      <c r="N73" s="42">
        <f>IF(Returns!N20=1,M73+Returns!N24*M73*(Returns!N22+$C72/10000)/4-IF(AND(Returns!N20=1,Returns!N24=0),MIN(M73,Returns!$C$6*Returns!$C$11/4),0),0)</f>
        <v/>
      </c>
      <c r="O73" s="42">
        <f>IF(Returns!O20=1,N73+Returns!O24*N73*(Returns!O22+$C72/10000)/4-IF(AND(Returns!O20=1,Returns!O24=0),MIN(N73,Returns!$C$6*Returns!$C$11/4),0),0)</f>
        <v/>
      </c>
      <c r="P73" s="42">
        <f>IF(Returns!P20=1,O73+Returns!P24*O73*(Returns!P22+$C72/10000)/4-IF(AND(Returns!P20=1,Returns!P24=0),MIN(O73,Returns!$C$6*Returns!$C$11/4),0),0)</f>
        <v/>
      </c>
      <c r="Q73" s="42">
        <f>IF(Returns!Q20=1,P73+Returns!Q24*P73*(Returns!Q22+$C72/10000)/4-IF(AND(Returns!Q20=1,Returns!Q24=0),MIN(P73,Returns!$C$6*Returns!$C$11/4),0),0)</f>
        <v/>
      </c>
      <c r="R73" s="42">
        <f>IF(Returns!R20=1,Q73+Returns!R24*Q73*(Returns!R22+$C72/10000)/4-IF(AND(Returns!R20=1,Returns!R24=0),MIN(Q73,Returns!$C$6*Returns!$C$11/4),0),0)</f>
        <v/>
      </c>
      <c r="S73" s="42">
        <f>IF(Returns!S20=1,R73+Returns!S24*R73*(Returns!S22+$C72/10000)/4-IF(AND(Returns!S20=1,Returns!S24=0),MIN(R73,Returns!$C$6*Returns!$C$11/4),0),0)</f>
        <v/>
      </c>
      <c r="T73" s="42">
        <f>IF(Returns!T20=1,S73+Returns!T24*S73*(Returns!T22+$C72/10000)/4-IF(AND(Returns!T20=1,Returns!T24=0),MIN(S73,Returns!$C$6*Returns!$C$11/4),0),0)</f>
        <v/>
      </c>
      <c r="U73" s="42">
        <f>IF(Returns!U20=1,T73+Returns!U24*T73*(Returns!U22+$C72/10000)/4-IF(AND(Returns!U20=1,Returns!U24=0),MIN(T73,Returns!$C$6*Returns!$C$11/4),0),0)</f>
        <v/>
      </c>
      <c r="V73" s="42">
        <f>IF(Returns!V20=1,U73+Returns!V24*U73*(Returns!V22+$C72/10000)/4-IF(AND(Returns!V20=1,Returns!V24=0),MIN(U73,Returns!$C$6*Returns!$C$11/4),0),0)</f>
        <v/>
      </c>
      <c r="W73" s="42">
        <f>IF(Returns!W20=1,V73+Returns!W24*V73*(Returns!W22+$C72/10000)/4-IF(AND(Returns!W20=1,Returns!W24=0),MIN(V73,Returns!$C$6*Returns!$C$11/4),0),0)</f>
        <v/>
      </c>
    </row>
    <row r="74" ht="15" customHeight="1" s="31">
      <c r="B74" s="35" t="inlineStr">
        <is>
          <t>Financing line ending balance (before exit payoff)</t>
        </is>
      </c>
      <c r="C74" s="42">
        <f>$F72</f>
        <v/>
      </c>
      <c r="D74" s="42">
        <f>IF(Returns!D20=1,C74-$F72*IF(AND(Returns!D20=1,Returns!D24=0),MIN(C73,Returns!$C$6*Returns!$C$11/4),0)/Returns!$C$6,0)</f>
        <v/>
      </c>
      <c r="E74" s="42">
        <f>IF(Returns!E20=1,D74-$F72*IF(AND(Returns!E20=1,Returns!E24=0),MIN(D73,Returns!$C$6*Returns!$C$11/4),0)/Returns!$C$6,0)</f>
        <v/>
      </c>
      <c r="F74" s="42">
        <f>IF(Returns!F20=1,E74-$F72*IF(AND(Returns!F20=1,Returns!F24=0),MIN(E73,Returns!$C$6*Returns!$C$11/4),0)/Returns!$C$6,0)</f>
        <v/>
      </c>
      <c r="G74" s="42">
        <f>IF(Returns!G20=1,F74-$F72*IF(AND(Returns!G20=1,Returns!G24=0),MIN(F73,Returns!$C$6*Returns!$C$11/4),0)/Returns!$C$6,0)</f>
        <v/>
      </c>
      <c r="H74" s="42">
        <f>IF(Returns!H20=1,G74-$F72*IF(AND(Returns!H20=1,Returns!H24=0),MIN(G73,Returns!$C$6*Returns!$C$11/4),0)/Returns!$C$6,0)</f>
        <v/>
      </c>
      <c r="I74" s="42">
        <f>IF(Returns!I20=1,H74-$F72*IF(AND(Returns!I20=1,Returns!I24=0),MIN(H73,Returns!$C$6*Returns!$C$11/4),0)/Returns!$C$6,0)</f>
        <v/>
      </c>
      <c r="J74" s="42">
        <f>IF(Returns!J20=1,I74-$F72*IF(AND(Returns!J20=1,Returns!J24=0),MIN(I73,Returns!$C$6*Returns!$C$11/4),0)/Returns!$C$6,0)</f>
        <v/>
      </c>
      <c r="K74" s="42">
        <f>IF(Returns!K20=1,J74-$F72*IF(AND(Returns!K20=1,Returns!K24=0),MIN(J73,Returns!$C$6*Returns!$C$11/4),0)/Returns!$C$6,0)</f>
        <v/>
      </c>
      <c r="L74" s="42">
        <f>IF(Returns!L20=1,K74-$F72*IF(AND(Returns!L20=1,Returns!L24=0),MIN(K73,Returns!$C$6*Returns!$C$11/4),0)/Returns!$C$6,0)</f>
        <v/>
      </c>
      <c r="M74" s="42">
        <f>IF(Returns!M20=1,L74-$F72*IF(AND(Returns!M20=1,Returns!M24=0),MIN(L73,Returns!$C$6*Returns!$C$11/4),0)/Returns!$C$6,0)</f>
        <v/>
      </c>
      <c r="N74" s="42">
        <f>IF(Returns!N20=1,M74-$F72*IF(AND(Returns!N20=1,Returns!N24=0),MIN(M73,Returns!$C$6*Returns!$C$11/4),0)/Returns!$C$6,0)</f>
        <v/>
      </c>
      <c r="O74" s="42">
        <f>IF(Returns!O20=1,N74-$F72*IF(AND(Returns!O20=1,Returns!O24=0),MIN(N73,Returns!$C$6*Returns!$C$11/4),0)/Returns!$C$6,0)</f>
        <v/>
      </c>
      <c r="P74" s="42">
        <f>IF(Returns!P20=1,O74-$F72*IF(AND(Returns!P20=1,Returns!P24=0),MIN(O73,Returns!$C$6*Returns!$C$11/4),0)/Returns!$C$6,0)</f>
        <v/>
      </c>
      <c r="Q74" s="42">
        <f>IF(Returns!Q20=1,P74-$F72*IF(AND(Returns!Q20=1,Returns!Q24=0),MIN(P73,Returns!$C$6*Returns!$C$11/4),0)/Returns!$C$6,0)</f>
        <v/>
      </c>
      <c r="R74" s="42">
        <f>IF(Returns!R20=1,Q74-$F72*IF(AND(Returns!R20=1,Returns!R24=0),MIN(Q73,Returns!$C$6*Returns!$C$11/4),0)/Returns!$C$6,0)</f>
        <v/>
      </c>
      <c r="S74" s="42">
        <f>IF(Returns!S20=1,R74-$F72*IF(AND(Returns!S20=1,Returns!S24=0),MIN(R73,Returns!$C$6*Returns!$C$11/4),0)/Returns!$C$6,0)</f>
        <v/>
      </c>
      <c r="T74" s="42">
        <f>IF(Returns!T20=1,S74-$F72*IF(AND(Returns!T20=1,Returns!T24=0),MIN(S73,Returns!$C$6*Returns!$C$11/4),0)/Returns!$C$6,0)</f>
        <v/>
      </c>
      <c r="U74" s="42">
        <f>IF(Returns!U20=1,T74-$F72*IF(AND(Returns!U20=1,Returns!U24=0),MIN(T73,Returns!$C$6*Returns!$C$11/4),0)/Returns!$C$6,0)</f>
        <v/>
      </c>
      <c r="V74" s="42">
        <f>IF(Returns!V20=1,U74-$F72*IF(AND(Returns!V20=1,Returns!V24=0),MIN(U73,Returns!$C$6*Returns!$C$11/4),0)/Returns!$C$6,0)</f>
        <v/>
      </c>
      <c r="W74" s="42">
        <f>IF(Returns!W20=1,V74-$F72*IF(AND(Returns!W20=1,Returns!W24=0),MIN(V73,Returns!$C$6*Returns!$C$11/4),0)/Returns!$C$6,0)</f>
        <v/>
      </c>
    </row>
    <row r="75" ht="15" customHeight="1" s="31">
      <c r="B75" s="35" t="inlineStr">
        <is>
          <t>Levered net cash flow</t>
        </is>
      </c>
      <c r="C75" s="42">
        <f>-Returns!$C$6*(1-Returns!$D$8)+$F72</f>
        <v/>
      </c>
      <c r="D75" s="42">
        <f>Returns!D20*(1-Returns!D24)*C73*(Returns!D22+$C72/10000)/4+IF(AND(Returns!D20=1,Returns!D24=0),MIN(C73,Returns!$C$6*Returns!$C$11/4),0)+Returns!D21*D73*Returns!$C$12/100-Returns!D20*C74*(Returns!D22+Returns!$I$8/10000)/4-$F72*IF(AND(Returns!D20=1,Returns!D24=0),MIN(C73,Returns!$C$6*Returns!$C$11/4),0)/Returns!$C$6-Returns!D21*D74</f>
        <v/>
      </c>
      <c r="E75" s="42">
        <f>Returns!E20*(1-Returns!E24)*D73*(Returns!E22+$C72/10000)/4+IF(AND(Returns!E20=1,Returns!E24=0),MIN(D73,Returns!$C$6*Returns!$C$11/4),0)+Returns!E21*E73*Returns!$C$12/100-Returns!E20*D74*(Returns!E22+Returns!$I$8/10000)/4-$F72*IF(AND(Returns!E20=1,Returns!E24=0),MIN(D73,Returns!$C$6*Returns!$C$11/4),0)/Returns!$C$6-Returns!E21*E74</f>
        <v/>
      </c>
      <c r="F75" s="42">
        <f>Returns!F20*(1-Returns!F24)*E73*(Returns!F22+$C72/10000)/4+IF(AND(Returns!F20=1,Returns!F24=0),MIN(E73,Returns!$C$6*Returns!$C$11/4),0)+Returns!F21*F73*Returns!$C$12/100-Returns!F20*E74*(Returns!F22+Returns!$I$8/10000)/4-$F72*IF(AND(Returns!F20=1,Returns!F24=0),MIN(E73,Returns!$C$6*Returns!$C$11/4),0)/Returns!$C$6-Returns!F21*F74</f>
        <v/>
      </c>
      <c r="G75" s="42">
        <f>Returns!G20*(1-Returns!G24)*F73*(Returns!G22+$C72/10000)/4+IF(AND(Returns!G20=1,Returns!G24=0),MIN(F73,Returns!$C$6*Returns!$C$11/4),0)+Returns!G21*G73*Returns!$C$12/100-Returns!G20*F74*(Returns!G22+Returns!$I$8/10000)/4-$F72*IF(AND(Returns!G20=1,Returns!G24=0),MIN(F73,Returns!$C$6*Returns!$C$11/4),0)/Returns!$C$6-Returns!G21*G74</f>
        <v/>
      </c>
      <c r="H75" s="42">
        <f>Returns!H20*(1-Returns!H24)*G73*(Returns!H22+$C72/10000)/4+IF(AND(Returns!H20=1,Returns!H24=0),MIN(G73,Returns!$C$6*Returns!$C$11/4),0)+Returns!H21*H73*Returns!$C$12/100-Returns!H20*G74*(Returns!H22+Returns!$I$8/10000)/4-$F72*IF(AND(Returns!H20=1,Returns!H24=0),MIN(G73,Returns!$C$6*Returns!$C$11/4),0)/Returns!$C$6-Returns!H21*H74</f>
        <v/>
      </c>
      <c r="I75" s="42">
        <f>Returns!I20*(1-Returns!I24)*H73*(Returns!I22+$C72/10000)/4+IF(AND(Returns!I20=1,Returns!I24=0),MIN(H73,Returns!$C$6*Returns!$C$11/4),0)+Returns!I21*I73*Returns!$C$12/100-Returns!I20*H74*(Returns!I22+Returns!$I$8/10000)/4-$F72*IF(AND(Returns!I20=1,Returns!I24=0),MIN(H73,Returns!$C$6*Returns!$C$11/4),0)/Returns!$C$6-Returns!I21*I74</f>
        <v/>
      </c>
      <c r="J75" s="42">
        <f>Returns!J20*(1-Returns!J24)*I73*(Returns!J22+$C72/10000)/4+IF(AND(Returns!J20=1,Returns!J24=0),MIN(I73,Returns!$C$6*Returns!$C$11/4),0)+Returns!J21*J73*Returns!$C$12/100-Returns!J20*I74*(Returns!J22+Returns!$I$8/10000)/4-$F72*IF(AND(Returns!J20=1,Returns!J24=0),MIN(I73,Returns!$C$6*Returns!$C$11/4),0)/Returns!$C$6-Returns!J21*J74</f>
        <v/>
      </c>
      <c r="K75" s="42">
        <f>Returns!K20*(1-Returns!K24)*J73*(Returns!K22+$C72/10000)/4+IF(AND(Returns!K20=1,Returns!K24=0),MIN(J73,Returns!$C$6*Returns!$C$11/4),0)+Returns!K21*K73*Returns!$C$12/100-Returns!K20*J74*(Returns!K22+Returns!$I$8/10000)/4-$F72*IF(AND(Returns!K20=1,Returns!K24=0),MIN(J73,Returns!$C$6*Returns!$C$11/4),0)/Returns!$C$6-Returns!K21*K74</f>
        <v/>
      </c>
      <c r="L75" s="42">
        <f>Returns!L20*(1-Returns!L24)*K73*(Returns!L22+$C72/10000)/4+IF(AND(Returns!L20=1,Returns!L24=0),MIN(K73,Returns!$C$6*Returns!$C$11/4),0)+Returns!L21*L73*Returns!$C$12/100-Returns!L20*K74*(Returns!L22+Returns!$I$8/10000)/4-$F72*IF(AND(Returns!L20=1,Returns!L24=0),MIN(K73,Returns!$C$6*Returns!$C$11/4),0)/Returns!$C$6-Returns!L21*L74</f>
        <v/>
      </c>
      <c r="M75" s="42">
        <f>Returns!M20*(1-Returns!M24)*L73*(Returns!M22+$C72/10000)/4+IF(AND(Returns!M20=1,Returns!M24=0),MIN(L73,Returns!$C$6*Returns!$C$11/4),0)+Returns!M21*M73*Returns!$C$12/100-Returns!M20*L74*(Returns!M22+Returns!$I$8/10000)/4-$F72*IF(AND(Returns!M20=1,Returns!M24=0),MIN(L73,Returns!$C$6*Returns!$C$11/4),0)/Returns!$C$6-Returns!M21*M74</f>
        <v/>
      </c>
      <c r="N75" s="42">
        <f>Returns!N20*(1-Returns!N24)*M73*(Returns!N22+$C72/10000)/4+IF(AND(Returns!N20=1,Returns!N24=0),MIN(M73,Returns!$C$6*Returns!$C$11/4),0)+Returns!N21*N73*Returns!$C$12/100-Returns!N20*M74*(Returns!N22+Returns!$I$8/10000)/4-$F72*IF(AND(Returns!N20=1,Returns!N24=0),MIN(M73,Returns!$C$6*Returns!$C$11/4),0)/Returns!$C$6-Returns!N21*N74</f>
        <v/>
      </c>
      <c r="O75" s="42">
        <f>Returns!O20*(1-Returns!O24)*N73*(Returns!O22+$C72/10000)/4+IF(AND(Returns!O20=1,Returns!O24=0),MIN(N73,Returns!$C$6*Returns!$C$11/4),0)+Returns!O21*O73*Returns!$C$12/100-Returns!O20*N74*(Returns!O22+Returns!$I$8/10000)/4-$F72*IF(AND(Returns!O20=1,Returns!O24=0),MIN(N73,Returns!$C$6*Returns!$C$11/4),0)/Returns!$C$6-Returns!O21*O74</f>
        <v/>
      </c>
      <c r="P75" s="42">
        <f>Returns!P20*(1-Returns!P24)*O73*(Returns!P22+$C72/10000)/4+IF(AND(Returns!P20=1,Returns!P24=0),MIN(O73,Returns!$C$6*Returns!$C$11/4),0)+Returns!P21*P73*Returns!$C$12/100-Returns!P20*O74*(Returns!P22+Returns!$I$8/10000)/4-$F72*IF(AND(Returns!P20=1,Returns!P24=0),MIN(O73,Returns!$C$6*Returns!$C$11/4),0)/Returns!$C$6-Returns!P21*P74</f>
        <v/>
      </c>
      <c r="Q75" s="42">
        <f>Returns!Q20*(1-Returns!Q24)*P73*(Returns!Q22+$C72/10000)/4+IF(AND(Returns!Q20=1,Returns!Q24=0),MIN(P73,Returns!$C$6*Returns!$C$11/4),0)+Returns!Q21*Q73*Returns!$C$12/100-Returns!Q20*P74*(Returns!Q22+Returns!$I$8/10000)/4-$F72*IF(AND(Returns!Q20=1,Returns!Q24=0),MIN(P73,Returns!$C$6*Returns!$C$11/4),0)/Returns!$C$6-Returns!Q21*Q74</f>
        <v/>
      </c>
      <c r="R75" s="42">
        <f>Returns!R20*(1-Returns!R24)*Q73*(Returns!R22+$C72/10000)/4+IF(AND(Returns!R20=1,Returns!R24=0),MIN(Q73,Returns!$C$6*Returns!$C$11/4),0)+Returns!R21*R73*Returns!$C$12/100-Returns!R20*Q74*(Returns!R22+Returns!$I$8/10000)/4-$F72*IF(AND(Returns!R20=1,Returns!R24=0),MIN(Q73,Returns!$C$6*Returns!$C$11/4),0)/Returns!$C$6-Returns!R21*R74</f>
        <v/>
      </c>
      <c r="S75" s="42">
        <f>Returns!S20*(1-Returns!S24)*R73*(Returns!S22+$C72/10000)/4+IF(AND(Returns!S20=1,Returns!S24=0),MIN(R73,Returns!$C$6*Returns!$C$11/4),0)+Returns!S21*S73*Returns!$C$12/100-Returns!S20*R74*(Returns!S22+Returns!$I$8/10000)/4-$F72*IF(AND(Returns!S20=1,Returns!S24=0),MIN(R73,Returns!$C$6*Returns!$C$11/4),0)/Returns!$C$6-Returns!S21*S74</f>
        <v/>
      </c>
      <c r="T75" s="42">
        <f>Returns!T20*(1-Returns!T24)*S73*(Returns!T22+$C72/10000)/4+IF(AND(Returns!T20=1,Returns!T24=0),MIN(S73,Returns!$C$6*Returns!$C$11/4),0)+Returns!T21*T73*Returns!$C$12/100-Returns!T20*S74*(Returns!T22+Returns!$I$8/10000)/4-$F72*IF(AND(Returns!T20=1,Returns!T24=0),MIN(S73,Returns!$C$6*Returns!$C$11/4),0)/Returns!$C$6-Returns!T21*T74</f>
        <v/>
      </c>
      <c r="U75" s="42">
        <f>Returns!U20*(1-Returns!U24)*T73*(Returns!U22+$C72/10000)/4+IF(AND(Returns!U20=1,Returns!U24=0),MIN(T73,Returns!$C$6*Returns!$C$11/4),0)+Returns!U21*U73*Returns!$C$12/100-Returns!U20*T74*(Returns!U22+Returns!$I$8/10000)/4-$F72*IF(AND(Returns!U20=1,Returns!U24=0),MIN(T73,Returns!$C$6*Returns!$C$11/4),0)/Returns!$C$6-Returns!U21*U74</f>
        <v/>
      </c>
      <c r="V75" s="42">
        <f>Returns!V20*(1-Returns!V24)*U73*(Returns!V22+$C72/10000)/4+IF(AND(Returns!V20=1,Returns!V24=0),MIN(U73,Returns!$C$6*Returns!$C$11/4),0)+Returns!V21*V73*Returns!$C$12/100-Returns!V20*U74*(Returns!V22+Returns!$I$8/10000)/4-$F72*IF(AND(Returns!V20=1,Returns!V24=0),MIN(U73,Returns!$C$6*Returns!$C$11/4),0)/Returns!$C$6-Returns!V21*V74</f>
        <v/>
      </c>
      <c r="W75" s="42">
        <f>Returns!W20*(1-Returns!W24)*V73*(Returns!W22+$C72/10000)/4+IF(AND(Returns!W20=1,Returns!W24=0),MIN(V73,Returns!$C$6*Returns!$C$11/4),0)+Returns!W21*W73*Returns!$C$12/100-Returns!W20*V74*(Returns!W22+Returns!$I$8/10000)/4-$F72*IF(AND(Returns!W20=1,Returns!W24=0),MIN(V73,Returns!$C$6*Returns!$C$11/4),0)/Returns!$C$6-Returns!W21*W74</f>
        <v/>
      </c>
    </row>
    <row r="77" ht="15" customHeight="1" s="31">
      <c r="B77" s="34" t="inlineStr">
        <is>
          <t>Spread offset +100 bps, leverage 1.25x — parameters (spread, leverage, advance rate, financing at close)</t>
        </is>
      </c>
      <c r="C77" s="45">
        <f>Returns!$C$7+(100)</f>
        <v/>
      </c>
      <c r="D77" s="59" t="n">
        <v>1.25</v>
      </c>
      <c r="E77" s="60">
        <f>D77/(1+D77)</f>
        <v/>
      </c>
      <c r="F77" s="42">
        <f>Returns!$C$6*(1-Returns!$D$8)*E77</f>
        <v/>
      </c>
    </row>
    <row r="78" ht="15" customHeight="1" s="31">
      <c r="B78" s="35" t="inlineStr">
        <is>
          <t>Loan ending balance (before exit payoff)</t>
        </is>
      </c>
      <c r="C78" s="42">
        <f>Returns!$C$6</f>
        <v/>
      </c>
      <c r="D78" s="42">
        <f>IF(Returns!D20=1,C78+Returns!D24*C78*(Returns!D22+$C77/10000)/4-IF(AND(Returns!D20=1,Returns!D24=0),MIN(C78,Returns!$C$6*Returns!$C$11/4),0),0)</f>
        <v/>
      </c>
      <c r="E78" s="42">
        <f>IF(Returns!E20=1,D78+Returns!E24*D78*(Returns!E22+$C77/10000)/4-IF(AND(Returns!E20=1,Returns!E24=0),MIN(D78,Returns!$C$6*Returns!$C$11/4),0),0)</f>
        <v/>
      </c>
      <c r="F78" s="42">
        <f>IF(Returns!F20=1,E78+Returns!F24*E78*(Returns!F22+$C77/10000)/4-IF(AND(Returns!F20=1,Returns!F24=0),MIN(E78,Returns!$C$6*Returns!$C$11/4),0),0)</f>
        <v/>
      </c>
      <c r="G78" s="42">
        <f>IF(Returns!G20=1,F78+Returns!G24*F78*(Returns!G22+$C77/10000)/4-IF(AND(Returns!G20=1,Returns!G24=0),MIN(F78,Returns!$C$6*Returns!$C$11/4),0),0)</f>
        <v/>
      </c>
      <c r="H78" s="42">
        <f>IF(Returns!H20=1,G78+Returns!H24*G78*(Returns!H22+$C77/10000)/4-IF(AND(Returns!H20=1,Returns!H24=0),MIN(G78,Returns!$C$6*Returns!$C$11/4),0),0)</f>
        <v/>
      </c>
      <c r="I78" s="42">
        <f>IF(Returns!I20=1,H78+Returns!I24*H78*(Returns!I22+$C77/10000)/4-IF(AND(Returns!I20=1,Returns!I24=0),MIN(H78,Returns!$C$6*Returns!$C$11/4),0),0)</f>
        <v/>
      </c>
      <c r="J78" s="42">
        <f>IF(Returns!J20=1,I78+Returns!J24*I78*(Returns!J22+$C77/10000)/4-IF(AND(Returns!J20=1,Returns!J24=0),MIN(I78,Returns!$C$6*Returns!$C$11/4),0),0)</f>
        <v/>
      </c>
      <c r="K78" s="42">
        <f>IF(Returns!K20=1,J78+Returns!K24*J78*(Returns!K22+$C77/10000)/4-IF(AND(Returns!K20=1,Returns!K24=0),MIN(J78,Returns!$C$6*Returns!$C$11/4),0),0)</f>
        <v/>
      </c>
      <c r="L78" s="42">
        <f>IF(Returns!L20=1,K78+Returns!L24*K78*(Returns!L22+$C77/10000)/4-IF(AND(Returns!L20=1,Returns!L24=0),MIN(K78,Returns!$C$6*Returns!$C$11/4),0),0)</f>
        <v/>
      </c>
      <c r="M78" s="42">
        <f>IF(Returns!M20=1,L78+Returns!M24*L78*(Returns!M22+$C77/10000)/4-IF(AND(Returns!M20=1,Returns!M24=0),MIN(L78,Returns!$C$6*Returns!$C$11/4),0),0)</f>
        <v/>
      </c>
      <c r="N78" s="42">
        <f>IF(Returns!N20=1,M78+Returns!N24*M78*(Returns!N22+$C77/10000)/4-IF(AND(Returns!N20=1,Returns!N24=0),MIN(M78,Returns!$C$6*Returns!$C$11/4),0),0)</f>
        <v/>
      </c>
      <c r="O78" s="42">
        <f>IF(Returns!O20=1,N78+Returns!O24*N78*(Returns!O22+$C77/10000)/4-IF(AND(Returns!O20=1,Returns!O24=0),MIN(N78,Returns!$C$6*Returns!$C$11/4),0),0)</f>
        <v/>
      </c>
      <c r="P78" s="42">
        <f>IF(Returns!P20=1,O78+Returns!P24*O78*(Returns!P22+$C77/10000)/4-IF(AND(Returns!P20=1,Returns!P24=0),MIN(O78,Returns!$C$6*Returns!$C$11/4),0),0)</f>
        <v/>
      </c>
      <c r="Q78" s="42">
        <f>IF(Returns!Q20=1,P78+Returns!Q24*P78*(Returns!Q22+$C77/10000)/4-IF(AND(Returns!Q20=1,Returns!Q24=0),MIN(P78,Returns!$C$6*Returns!$C$11/4),0),0)</f>
        <v/>
      </c>
      <c r="R78" s="42">
        <f>IF(Returns!R20=1,Q78+Returns!R24*Q78*(Returns!R22+$C77/10000)/4-IF(AND(Returns!R20=1,Returns!R24=0),MIN(Q78,Returns!$C$6*Returns!$C$11/4),0),0)</f>
        <v/>
      </c>
      <c r="S78" s="42">
        <f>IF(Returns!S20=1,R78+Returns!S24*R78*(Returns!S22+$C77/10000)/4-IF(AND(Returns!S20=1,Returns!S24=0),MIN(R78,Returns!$C$6*Returns!$C$11/4),0),0)</f>
        <v/>
      </c>
      <c r="T78" s="42">
        <f>IF(Returns!T20=1,S78+Returns!T24*S78*(Returns!T22+$C77/10000)/4-IF(AND(Returns!T20=1,Returns!T24=0),MIN(S78,Returns!$C$6*Returns!$C$11/4),0),0)</f>
        <v/>
      </c>
      <c r="U78" s="42">
        <f>IF(Returns!U20=1,T78+Returns!U24*T78*(Returns!U22+$C77/10000)/4-IF(AND(Returns!U20=1,Returns!U24=0),MIN(T78,Returns!$C$6*Returns!$C$11/4),0),0)</f>
        <v/>
      </c>
      <c r="V78" s="42">
        <f>IF(Returns!V20=1,U78+Returns!V24*U78*(Returns!V22+$C77/10000)/4-IF(AND(Returns!V20=1,Returns!V24=0),MIN(U78,Returns!$C$6*Returns!$C$11/4),0),0)</f>
        <v/>
      </c>
      <c r="W78" s="42">
        <f>IF(Returns!W20=1,V78+Returns!W24*V78*(Returns!W22+$C77/10000)/4-IF(AND(Returns!W20=1,Returns!W24=0),MIN(V78,Returns!$C$6*Returns!$C$11/4),0),0)</f>
        <v/>
      </c>
    </row>
    <row r="79" ht="15" customHeight="1" s="31">
      <c r="B79" s="35" t="inlineStr">
        <is>
          <t>Financing line ending balance (before exit payoff)</t>
        </is>
      </c>
      <c r="C79" s="42">
        <f>$F77</f>
        <v/>
      </c>
      <c r="D79" s="42">
        <f>IF(Returns!D20=1,C79-$F77*IF(AND(Returns!D20=1,Returns!D24=0),MIN(C78,Returns!$C$6*Returns!$C$11/4),0)/Returns!$C$6,0)</f>
        <v/>
      </c>
      <c r="E79" s="42">
        <f>IF(Returns!E20=1,D79-$F77*IF(AND(Returns!E20=1,Returns!E24=0),MIN(D78,Returns!$C$6*Returns!$C$11/4),0)/Returns!$C$6,0)</f>
        <v/>
      </c>
      <c r="F79" s="42">
        <f>IF(Returns!F20=1,E79-$F77*IF(AND(Returns!F20=1,Returns!F24=0),MIN(E78,Returns!$C$6*Returns!$C$11/4),0)/Returns!$C$6,0)</f>
        <v/>
      </c>
      <c r="G79" s="42">
        <f>IF(Returns!G20=1,F79-$F77*IF(AND(Returns!G20=1,Returns!G24=0),MIN(F78,Returns!$C$6*Returns!$C$11/4),0)/Returns!$C$6,0)</f>
        <v/>
      </c>
      <c r="H79" s="42">
        <f>IF(Returns!H20=1,G79-$F77*IF(AND(Returns!H20=1,Returns!H24=0),MIN(G78,Returns!$C$6*Returns!$C$11/4),0)/Returns!$C$6,0)</f>
        <v/>
      </c>
      <c r="I79" s="42">
        <f>IF(Returns!I20=1,H79-$F77*IF(AND(Returns!I20=1,Returns!I24=0),MIN(H78,Returns!$C$6*Returns!$C$11/4),0)/Returns!$C$6,0)</f>
        <v/>
      </c>
      <c r="J79" s="42">
        <f>IF(Returns!J20=1,I79-$F77*IF(AND(Returns!J20=1,Returns!J24=0),MIN(I78,Returns!$C$6*Returns!$C$11/4),0)/Returns!$C$6,0)</f>
        <v/>
      </c>
      <c r="K79" s="42">
        <f>IF(Returns!K20=1,J79-$F77*IF(AND(Returns!K20=1,Returns!K24=0),MIN(J78,Returns!$C$6*Returns!$C$11/4),0)/Returns!$C$6,0)</f>
        <v/>
      </c>
      <c r="L79" s="42">
        <f>IF(Returns!L20=1,K79-$F77*IF(AND(Returns!L20=1,Returns!L24=0),MIN(K78,Returns!$C$6*Returns!$C$11/4),0)/Returns!$C$6,0)</f>
        <v/>
      </c>
      <c r="M79" s="42">
        <f>IF(Returns!M20=1,L79-$F77*IF(AND(Returns!M20=1,Returns!M24=0),MIN(L78,Returns!$C$6*Returns!$C$11/4),0)/Returns!$C$6,0)</f>
        <v/>
      </c>
      <c r="N79" s="42">
        <f>IF(Returns!N20=1,M79-$F77*IF(AND(Returns!N20=1,Returns!N24=0),MIN(M78,Returns!$C$6*Returns!$C$11/4),0)/Returns!$C$6,0)</f>
        <v/>
      </c>
      <c r="O79" s="42">
        <f>IF(Returns!O20=1,N79-$F77*IF(AND(Returns!O20=1,Returns!O24=0),MIN(N78,Returns!$C$6*Returns!$C$11/4),0)/Returns!$C$6,0)</f>
        <v/>
      </c>
      <c r="P79" s="42">
        <f>IF(Returns!P20=1,O79-$F77*IF(AND(Returns!P20=1,Returns!P24=0),MIN(O78,Returns!$C$6*Returns!$C$11/4),0)/Returns!$C$6,0)</f>
        <v/>
      </c>
      <c r="Q79" s="42">
        <f>IF(Returns!Q20=1,P79-$F77*IF(AND(Returns!Q20=1,Returns!Q24=0),MIN(P78,Returns!$C$6*Returns!$C$11/4),0)/Returns!$C$6,0)</f>
        <v/>
      </c>
      <c r="R79" s="42">
        <f>IF(Returns!R20=1,Q79-$F77*IF(AND(Returns!R20=1,Returns!R24=0),MIN(Q78,Returns!$C$6*Returns!$C$11/4),0)/Returns!$C$6,0)</f>
        <v/>
      </c>
      <c r="S79" s="42">
        <f>IF(Returns!S20=1,R79-$F77*IF(AND(Returns!S20=1,Returns!S24=0),MIN(R78,Returns!$C$6*Returns!$C$11/4),0)/Returns!$C$6,0)</f>
        <v/>
      </c>
      <c r="T79" s="42">
        <f>IF(Returns!T20=1,S79-$F77*IF(AND(Returns!T20=1,Returns!T24=0),MIN(S78,Returns!$C$6*Returns!$C$11/4),0)/Returns!$C$6,0)</f>
        <v/>
      </c>
      <c r="U79" s="42">
        <f>IF(Returns!U20=1,T79-$F77*IF(AND(Returns!U20=1,Returns!U24=0),MIN(T78,Returns!$C$6*Returns!$C$11/4),0)/Returns!$C$6,0)</f>
        <v/>
      </c>
      <c r="V79" s="42">
        <f>IF(Returns!V20=1,U79-$F77*IF(AND(Returns!V20=1,Returns!V24=0),MIN(U78,Returns!$C$6*Returns!$C$11/4),0)/Returns!$C$6,0)</f>
        <v/>
      </c>
      <c r="W79" s="42">
        <f>IF(Returns!W20=1,V79-$F77*IF(AND(Returns!W20=1,Returns!W24=0),MIN(V78,Returns!$C$6*Returns!$C$11/4),0)/Returns!$C$6,0)</f>
        <v/>
      </c>
    </row>
    <row r="80" ht="15" customHeight="1" s="31">
      <c r="B80" s="35" t="inlineStr">
        <is>
          <t>Levered net cash flow</t>
        </is>
      </c>
      <c r="C80" s="42">
        <f>-Returns!$C$6*(1-Returns!$D$8)+$F77</f>
        <v/>
      </c>
      <c r="D80" s="42">
        <f>Returns!D20*(1-Returns!D24)*C78*(Returns!D22+$C77/10000)/4+IF(AND(Returns!D20=1,Returns!D24=0),MIN(C78,Returns!$C$6*Returns!$C$11/4),0)+Returns!D21*D78*Returns!$C$12/100-Returns!D20*C79*(Returns!D22+Returns!$I$8/10000)/4-$F77*IF(AND(Returns!D20=1,Returns!D24=0),MIN(C78,Returns!$C$6*Returns!$C$11/4),0)/Returns!$C$6-Returns!D21*D79</f>
        <v/>
      </c>
      <c r="E80" s="42">
        <f>Returns!E20*(1-Returns!E24)*D78*(Returns!E22+$C77/10000)/4+IF(AND(Returns!E20=1,Returns!E24=0),MIN(D78,Returns!$C$6*Returns!$C$11/4),0)+Returns!E21*E78*Returns!$C$12/100-Returns!E20*D79*(Returns!E22+Returns!$I$8/10000)/4-$F77*IF(AND(Returns!E20=1,Returns!E24=0),MIN(D78,Returns!$C$6*Returns!$C$11/4),0)/Returns!$C$6-Returns!E21*E79</f>
        <v/>
      </c>
      <c r="F80" s="42">
        <f>Returns!F20*(1-Returns!F24)*E78*(Returns!F22+$C77/10000)/4+IF(AND(Returns!F20=1,Returns!F24=0),MIN(E78,Returns!$C$6*Returns!$C$11/4),0)+Returns!F21*F78*Returns!$C$12/100-Returns!F20*E79*(Returns!F22+Returns!$I$8/10000)/4-$F77*IF(AND(Returns!F20=1,Returns!F24=0),MIN(E78,Returns!$C$6*Returns!$C$11/4),0)/Returns!$C$6-Returns!F21*F79</f>
        <v/>
      </c>
      <c r="G80" s="42">
        <f>Returns!G20*(1-Returns!G24)*F78*(Returns!G22+$C77/10000)/4+IF(AND(Returns!G20=1,Returns!G24=0),MIN(F78,Returns!$C$6*Returns!$C$11/4),0)+Returns!G21*G78*Returns!$C$12/100-Returns!G20*F79*(Returns!G22+Returns!$I$8/10000)/4-$F77*IF(AND(Returns!G20=1,Returns!G24=0),MIN(F78,Returns!$C$6*Returns!$C$11/4),0)/Returns!$C$6-Returns!G21*G79</f>
        <v/>
      </c>
      <c r="H80" s="42">
        <f>Returns!H20*(1-Returns!H24)*G78*(Returns!H22+$C77/10000)/4+IF(AND(Returns!H20=1,Returns!H24=0),MIN(G78,Returns!$C$6*Returns!$C$11/4),0)+Returns!H21*H78*Returns!$C$12/100-Returns!H20*G79*(Returns!H22+Returns!$I$8/10000)/4-$F77*IF(AND(Returns!H20=1,Returns!H24=0),MIN(G78,Returns!$C$6*Returns!$C$11/4),0)/Returns!$C$6-Returns!H21*H79</f>
        <v/>
      </c>
      <c r="I80" s="42">
        <f>Returns!I20*(1-Returns!I24)*H78*(Returns!I22+$C77/10000)/4+IF(AND(Returns!I20=1,Returns!I24=0),MIN(H78,Returns!$C$6*Returns!$C$11/4),0)+Returns!I21*I78*Returns!$C$12/100-Returns!I20*H79*(Returns!I22+Returns!$I$8/10000)/4-$F77*IF(AND(Returns!I20=1,Returns!I24=0),MIN(H78,Returns!$C$6*Returns!$C$11/4),0)/Returns!$C$6-Returns!I21*I79</f>
        <v/>
      </c>
      <c r="J80" s="42">
        <f>Returns!J20*(1-Returns!J24)*I78*(Returns!J22+$C77/10000)/4+IF(AND(Returns!J20=1,Returns!J24=0),MIN(I78,Returns!$C$6*Returns!$C$11/4),0)+Returns!J21*J78*Returns!$C$12/100-Returns!J20*I79*(Returns!J22+Returns!$I$8/10000)/4-$F77*IF(AND(Returns!J20=1,Returns!J24=0),MIN(I78,Returns!$C$6*Returns!$C$11/4),0)/Returns!$C$6-Returns!J21*J79</f>
        <v/>
      </c>
      <c r="K80" s="42">
        <f>Returns!K20*(1-Returns!K24)*J78*(Returns!K22+$C77/10000)/4+IF(AND(Returns!K20=1,Returns!K24=0),MIN(J78,Returns!$C$6*Returns!$C$11/4),0)+Returns!K21*K78*Returns!$C$12/100-Returns!K20*J79*(Returns!K22+Returns!$I$8/10000)/4-$F77*IF(AND(Returns!K20=1,Returns!K24=0),MIN(J78,Returns!$C$6*Returns!$C$11/4),0)/Returns!$C$6-Returns!K21*K79</f>
        <v/>
      </c>
      <c r="L80" s="42">
        <f>Returns!L20*(1-Returns!L24)*K78*(Returns!L22+$C77/10000)/4+IF(AND(Returns!L20=1,Returns!L24=0),MIN(K78,Returns!$C$6*Returns!$C$11/4),0)+Returns!L21*L78*Returns!$C$12/100-Returns!L20*K79*(Returns!L22+Returns!$I$8/10000)/4-$F77*IF(AND(Returns!L20=1,Returns!L24=0),MIN(K78,Returns!$C$6*Returns!$C$11/4),0)/Returns!$C$6-Returns!L21*L79</f>
        <v/>
      </c>
      <c r="M80" s="42">
        <f>Returns!M20*(1-Returns!M24)*L78*(Returns!M22+$C77/10000)/4+IF(AND(Returns!M20=1,Returns!M24=0),MIN(L78,Returns!$C$6*Returns!$C$11/4),0)+Returns!M21*M78*Returns!$C$12/100-Returns!M20*L79*(Returns!M22+Returns!$I$8/10000)/4-$F77*IF(AND(Returns!M20=1,Returns!M24=0),MIN(L78,Returns!$C$6*Returns!$C$11/4),0)/Returns!$C$6-Returns!M21*M79</f>
        <v/>
      </c>
      <c r="N80" s="42">
        <f>Returns!N20*(1-Returns!N24)*M78*(Returns!N22+$C77/10000)/4+IF(AND(Returns!N20=1,Returns!N24=0),MIN(M78,Returns!$C$6*Returns!$C$11/4),0)+Returns!N21*N78*Returns!$C$12/100-Returns!N20*M79*(Returns!N22+Returns!$I$8/10000)/4-$F77*IF(AND(Returns!N20=1,Returns!N24=0),MIN(M78,Returns!$C$6*Returns!$C$11/4),0)/Returns!$C$6-Returns!N21*N79</f>
        <v/>
      </c>
      <c r="O80" s="42">
        <f>Returns!O20*(1-Returns!O24)*N78*(Returns!O22+$C77/10000)/4+IF(AND(Returns!O20=1,Returns!O24=0),MIN(N78,Returns!$C$6*Returns!$C$11/4),0)+Returns!O21*O78*Returns!$C$12/100-Returns!O20*N79*(Returns!O22+Returns!$I$8/10000)/4-$F77*IF(AND(Returns!O20=1,Returns!O24=0),MIN(N78,Returns!$C$6*Returns!$C$11/4),0)/Returns!$C$6-Returns!O21*O79</f>
        <v/>
      </c>
      <c r="P80" s="42">
        <f>Returns!P20*(1-Returns!P24)*O78*(Returns!P22+$C77/10000)/4+IF(AND(Returns!P20=1,Returns!P24=0),MIN(O78,Returns!$C$6*Returns!$C$11/4),0)+Returns!P21*P78*Returns!$C$12/100-Returns!P20*O79*(Returns!P22+Returns!$I$8/10000)/4-$F77*IF(AND(Returns!P20=1,Returns!P24=0),MIN(O78,Returns!$C$6*Returns!$C$11/4),0)/Returns!$C$6-Returns!P21*P79</f>
        <v/>
      </c>
      <c r="Q80" s="42">
        <f>Returns!Q20*(1-Returns!Q24)*P78*(Returns!Q22+$C77/10000)/4+IF(AND(Returns!Q20=1,Returns!Q24=0),MIN(P78,Returns!$C$6*Returns!$C$11/4),0)+Returns!Q21*Q78*Returns!$C$12/100-Returns!Q20*P79*(Returns!Q22+Returns!$I$8/10000)/4-$F77*IF(AND(Returns!Q20=1,Returns!Q24=0),MIN(P78,Returns!$C$6*Returns!$C$11/4),0)/Returns!$C$6-Returns!Q21*Q79</f>
        <v/>
      </c>
      <c r="R80" s="42">
        <f>Returns!R20*(1-Returns!R24)*Q78*(Returns!R22+$C77/10000)/4+IF(AND(Returns!R20=1,Returns!R24=0),MIN(Q78,Returns!$C$6*Returns!$C$11/4),0)+Returns!R21*R78*Returns!$C$12/100-Returns!R20*Q79*(Returns!R22+Returns!$I$8/10000)/4-$F77*IF(AND(Returns!R20=1,Returns!R24=0),MIN(Q78,Returns!$C$6*Returns!$C$11/4),0)/Returns!$C$6-Returns!R21*R79</f>
        <v/>
      </c>
      <c r="S80" s="42">
        <f>Returns!S20*(1-Returns!S24)*R78*(Returns!S22+$C77/10000)/4+IF(AND(Returns!S20=1,Returns!S24=0),MIN(R78,Returns!$C$6*Returns!$C$11/4),0)+Returns!S21*S78*Returns!$C$12/100-Returns!S20*R79*(Returns!S22+Returns!$I$8/10000)/4-$F77*IF(AND(Returns!S20=1,Returns!S24=0),MIN(R78,Returns!$C$6*Returns!$C$11/4),0)/Returns!$C$6-Returns!S21*S79</f>
        <v/>
      </c>
      <c r="T80" s="42">
        <f>Returns!T20*(1-Returns!T24)*S78*(Returns!T22+$C77/10000)/4+IF(AND(Returns!T20=1,Returns!T24=0),MIN(S78,Returns!$C$6*Returns!$C$11/4),0)+Returns!T21*T78*Returns!$C$12/100-Returns!T20*S79*(Returns!T22+Returns!$I$8/10000)/4-$F77*IF(AND(Returns!T20=1,Returns!T24=0),MIN(S78,Returns!$C$6*Returns!$C$11/4),0)/Returns!$C$6-Returns!T21*T79</f>
        <v/>
      </c>
      <c r="U80" s="42">
        <f>Returns!U20*(1-Returns!U24)*T78*(Returns!U22+$C77/10000)/4+IF(AND(Returns!U20=1,Returns!U24=0),MIN(T78,Returns!$C$6*Returns!$C$11/4),0)+Returns!U21*U78*Returns!$C$12/100-Returns!U20*T79*(Returns!U22+Returns!$I$8/10000)/4-$F77*IF(AND(Returns!U20=1,Returns!U24=0),MIN(T78,Returns!$C$6*Returns!$C$11/4),0)/Returns!$C$6-Returns!U21*U79</f>
        <v/>
      </c>
      <c r="V80" s="42">
        <f>Returns!V20*(1-Returns!V24)*U78*(Returns!V22+$C77/10000)/4+IF(AND(Returns!V20=1,Returns!V24=0),MIN(U78,Returns!$C$6*Returns!$C$11/4),0)+Returns!V21*V78*Returns!$C$12/100-Returns!V20*U79*(Returns!V22+Returns!$I$8/10000)/4-$F77*IF(AND(Returns!V20=1,Returns!V24=0),MIN(U78,Returns!$C$6*Returns!$C$11/4),0)/Returns!$C$6-Returns!V21*V79</f>
        <v/>
      </c>
      <c r="W80" s="42">
        <f>Returns!W20*(1-Returns!W24)*V78*(Returns!W22+$C77/10000)/4+IF(AND(Returns!W20=1,Returns!W24=0),MIN(V78,Returns!$C$6*Returns!$C$11/4),0)+Returns!W21*W78*Returns!$C$12/100-Returns!W20*V79*(Returns!W22+Returns!$I$8/10000)/4-$F77*IF(AND(Returns!W20=1,Returns!W24=0),MIN(V78,Returns!$C$6*Returns!$C$11/4),0)/Returns!$C$6-Returns!W21*W79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9143079854A54D9892AFDB502399A0" ma:contentTypeVersion="15" ma:contentTypeDescription="Create a new document." ma:contentTypeScope="" ma:versionID="22e601a24562e73b2f5afc1046dcfba6">
  <xsd:schema xmlns:xsd="http://www.w3.org/2001/XMLSchema" xmlns:xs="http://www.w3.org/2001/XMLSchema" xmlns:p="http://schemas.microsoft.com/office/2006/metadata/properties" xmlns:ns2="7945be74-f550-42ae-be50-e20c01470fa8" xmlns:ns3="41866f6e-3c95-4ce7-90cd-084695edabd7" targetNamespace="http://schemas.microsoft.com/office/2006/metadata/properties" ma:root="true" ma:fieldsID="4c891952338fb39d319fedeac18bb4f8" ns2:_="" ns3:_="">
    <xsd:import namespace="7945be74-f550-42ae-be50-e20c01470fa8"/>
    <xsd:import namespace="41866f6e-3c95-4ce7-90cd-084695edab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45be74-f550-42ae-be50-e20c01470f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d09cff7-3085-437c-9583-5564e34a3e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866f6e-3c95-4ce7-90cd-084695edabd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dc2924a-1837-4a5f-9c22-6b8d8f490986}" ma:internalName="TaxCatchAll" ma:showField="CatchAllData" ma:web="41866f6e-3c95-4ce7-90cd-084695edab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866f6e-3c95-4ce7-90cd-084695edabd7" xsi:nil="true"/>
    <lcf76f155ced4ddcb4097134ff3c332f xmlns="7945be74-f550-42ae-be50-e20c01470f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08FBA5-CF34-4588-ACC8-C744A09CC070}"/>
</file>

<file path=customXml/itemProps2.xml><?xml version="1.0" encoding="utf-8"?>
<ds:datastoreItem xmlns:ds="http://schemas.openxmlformats.org/officeDocument/2006/customXml" ds:itemID="{1B00F618-FDB6-43CD-96DF-663F8B9AFC85}"/>
</file>

<file path=customXml/itemProps3.xml><?xml version="1.0" encoding="utf-8"?>
<ds:datastoreItem xmlns:ds="http://schemas.openxmlformats.org/officeDocument/2006/customXml" ds:itemID="{6B3E7992-7D56-4954-AAB9-4AC57174EAF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0</cp:revision>
  <dcterms:created xsi:type="dcterms:W3CDTF">2026-09-30T20:46:18Z</dcterms:created>
  <dcterms:modified xsi:type="dcterms:W3CDTF">2026-10-19T23:33:56Z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0x010100979143079854A54D9892AFDB502399A0</vt:lpwstr>
  </property>
</Properties>
</file>