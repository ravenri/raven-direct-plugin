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osed Deals" sheetId="1" state="visible" r:id="rId1"/>
    <sheet xmlns:r="http://schemas.openxmlformats.org/officeDocument/2006/relationships" name="Notes" sheetId="2" state="visible" r:id="rId2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mmm\ yyyy"/>
    <numFmt numFmtId="165" formatCode="#,##0;\(#,##0\);\-"/>
  </numFmts>
  <fonts count="10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sz val="9"/>
    </font>
    <font>
      <name val="Arial"/>
      <charset val="1"/>
      <b val="1"/>
      <color rgb="FFFFFFFF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color rgb="FF0000FF"/>
      <sz val="11"/>
    </font>
    <font>
      <name val="Arial"/>
      <charset val="1"/>
      <b val="1"/>
      <sz val="12"/>
    </font>
    <font>
      <name val="Arial"/>
      <charset val="1"/>
      <i val="1"/>
      <sz val="11"/>
    </font>
    <font>
      <name val="Arial"/>
      <charset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165" fontId="6" fillId="0" borderId="1" pivotButton="0" quotePrefix="0" xfId="0"/>
    <xf numFmtId="0" fontId="4" fillId="0" borderId="2" pivotButton="0" quotePrefix="0" xfId="0"/>
    <xf numFmtId="165" fontId="4" fillId="0" borderId="2" pivotButton="0" quotePrefix="0" xfId="0"/>
    <xf numFmtId="0" fontId="4" fillId="0" borderId="3" pivotButton="0" quotePrefix="0" xfId="0"/>
    <xf numFmtId="165" fontId="4" fillId="0" borderId="3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5" fontId="5" fillId="0" borderId="1" pivotButton="0" quotePrefix="0" xfId="0"/>
    <xf numFmtId="0" fontId="4" fillId="0" borderId="2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65" fontId="8" fillId="0" borderId="0" pivotButton="0" quotePrefix="0" xfId="0"/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</a:rPr>
              <a:t>By industry: number of deals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'Closed Deals'!B47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'Closed Deals'!$A$48:$A$54</f>
              <strCache>
                <ptCount val="7"/>
              </strCache>
            </strRef>
          </cat>
          <val>
            <numRef>
              <f>'Closed Deals'!$B$48:$B$54</f>
              <numCache>
                <formatCode>General</formatCode>
                <ptCount val="7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379202"/>
        <axId val="40426621"/>
      </barChart>
      <catAx>
        <axId val="98379202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0426621"/>
        <crosses val="autoZero"/>
        <auto val="1"/>
        <lblAlgn val="ctr"/>
        <lblOffset val="100"/>
        <noMultiLvlLbl val="0"/>
      </catAx>
      <valAx>
        <axId val="40426621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9837920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</a:rPr>
              <a:t>By industry: commitments ($mm)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'Closed Deals'!C47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'Closed Deals'!$A$48:$A$54</f>
              <strCache>
                <ptCount val="7"/>
              </strCache>
            </strRef>
          </cat>
          <val>
            <numRef>
              <f>'Closed Deals'!$C$48:$C$54</f>
              <numCache>
                <formatCode>#,##0;\(#,##0\);\-</formatCode>
                <ptCount val="7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9149576"/>
        <axId val="29996752"/>
      </barChart>
      <catAx>
        <axId val="29149576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29996752"/>
        <crosses val="autoZero"/>
        <auto val="1"/>
        <lblAlgn val="ctr"/>
        <lblOffset val="100"/>
        <noMultiLvlLbl val="0"/>
      </catAx>
      <valAx>
        <axId val="29996752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2914957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</a:rPr>
              <a:t>By sponsor: number of deals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'Closed Deals'!B58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'Closed Deals'!$A$59:$A$86</f>
              <strCache>
                <ptCount val="28"/>
              </strCache>
            </strRef>
          </cat>
          <val>
            <numRef>
              <f>'Closed Deals'!$B$59:$B$86</f>
              <numCache>
                <formatCode>General</formatCode>
                <ptCount val="2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170881"/>
        <axId val="65950848"/>
      </barChart>
      <catAx>
        <axId val="11170881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65950848"/>
        <crosses val="autoZero"/>
        <auto val="1"/>
        <lblAlgn val="ctr"/>
        <lblOffset val="100"/>
        <noMultiLvlLbl val="0"/>
      </catAx>
      <valAx>
        <axId val="65950848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117088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</a:rPr>
              <a:t>By sponsor: commitments ($mm)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'Closed Deals'!C58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'Closed Deals'!$A$59:$A$86</f>
              <strCache>
                <ptCount val="28"/>
              </strCache>
            </strRef>
          </cat>
          <val>
            <numRef>
              <f>'Closed Deals'!$C$59:$C$86</f>
              <numCache>
                <formatCode>#,##0;\(#,##0\);\-</formatCode>
                <ptCount val="2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6338796"/>
        <axId val="54487841"/>
      </barChart>
      <catAx>
        <axId val="76338796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4487841"/>
        <crosses val="autoZero"/>
        <auto val="1"/>
        <lblAlgn val="ctr"/>
        <lblOffset val="100"/>
        <noMultiLvlLbl val="0"/>
      </catAx>
      <valAx>
        <axId val="54487841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633879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</a:rPr>
              <a:t>By deal lead: number of deals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'Closed Deals'!B92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'Closed Deals'!$A$93:$A$95</f>
              <strCache>
                <ptCount val="3"/>
              </strCache>
            </strRef>
          </cat>
          <val>
            <numRef>
              <f>'Closed Deals'!$B$93:$B$95</f>
              <numCache>
                <formatCode>General</formatCode>
                <ptCount val="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609135"/>
        <axId val="58510577"/>
      </barChart>
      <catAx>
        <axId val="31609135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8510577"/>
        <crosses val="autoZero"/>
        <auto val="1"/>
        <lblAlgn val="ctr"/>
        <lblOffset val="100"/>
        <noMultiLvlLbl val="0"/>
      </catAx>
      <valAx>
        <axId val="58510577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160913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</a:rPr>
              <a:t>By deal lead: commitments ($mm)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'Closed Deals'!C92</f>
              <strCache>
                <ptCount val="1"/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'Closed Deals'!$A$93:$A$95</f>
              <strCache>
                <ptCount val="3"/>
              </strCache>
            </strRef>
          </cat>
          <val>
            <numRef>
              <f>'Closed Deals'!$C$93:$C$95</f>
              <numCache>
                <formatCode>#,##0;\(#,##0\);\-</formatCode>
                <ptCount val="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5035085"/>
        <axId val="58392121"/>
      </barChart>
      <catAx>
        <axId val="35035085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8392121"/>
        <crosses val="autoZero"/>
        <auto val="1"/>
        <lblAlgn val="ctr"/>
        <lblOffset val="100"/>
        <noMultiLvlLbl val="0"/>
      </catAx>
      <valAx>
        <axId val="58392121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503508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44</row>
      <rowOff>160920</rowOff>
    </from>
    <to>
      <col>6</col>
      <colOff>1155600</colOff>
      <row>55</row>
      <rowOff>9000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44</row>
      <rowOff>160920</rowOff>
    </from>
    <to>
      <col>10</col>
      <colOff>450720</colOff>
      <row>55</row>
      <rowOff>9000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4</col>
      <colOff>0</colOff>
      <row>55</row>
      <rowOff>160560</rowOff>
    </from>
    <to>
      <col>6</col>
      <colOff>1155600</colOff>
      <row>87</row>
      <rowOff>4320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7</col>
      <colOff>0</colOff>
      <row>55</row>
      <rowOff>160560</rowOff>
    </from>
    <to>
      <col>10</col>
      <colOff>450720</colOff>
      <row>87</row>
      <rowOff>4320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4</col>
      <colOff>0</colOff>
      <row>89</row>
      <rowOff>160560</rowOff>
    </from>
    <to>
      <col>6</col>
      <colOff>1155600</colOff>
      <row>100</row>
      <rowOff>8640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7</col>
      <colOff>0</colOff>
      <row>89</row>
      <rowOff>160560</rowOff>
    </from>
    <to>
      <col>10</col>
      <colOff>450720</colOff>
      <row>100</row>
      <rowOff>8640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32" customWidth="1" min="1" max="1"/>
    <col width="12" customWidth="1" min="2" max="2"/>
    <col width="32" customWidth="1" min="3" max="3"/>
    <col width="26" customWidth="1" min="4" max="5"/>
    <col width="36" customWidth="1" min="5" max="5"/>
    <col width="14" customWidth="1" min="6" max="6"/>
    <col width="20" customWidth="1" min="7" max="7"/>
    <col width="20" customWidth="1" min="8" max="11"/>
    <col width="20" customWidth="1" min="9" max="9"/>
    <col width="20" customWidth="1" min="10" max="10"/>
    <col width="13" customWidth="1" min="11" max="11"/>
  </cols>
  <sheetData>
    <row r="1" ht="17.45" customHeight="1">
      <c r="A1" s="1" t="inlineStr">
        <is>
          <t>Closed Deals by Year</t>
        </is>
      </c>
    </row>
    <row r="2">
      <c r="A2" s="2" t="inlineStr">
        <is>
          <t>Amount in $ millions as stored in Raven; blank means not populated. See Notes tab.</t>
        </is>
      </c>
    </row>
    <row r="4">
      <c r="A4" s="3" t="inlineStr">
        <is>
          <t>Deal</t>
        </is>
      </c>
      <c r="B4" s="3" t="inlineStr">
        <is>
          <t>Date</t>
        </is>
      </c>
      <c r="C4" s="3" t="inlineStr">
        <is>
          <t>Sponsor</t>
        </is>
      </c>
      <c r="D4" s="3" t="inlineStr">
        <is>
          <t>GICS Sector</t>
        </is>
      </c>
      <c r="E4" s="3" t="inlineStr">
        <is>
          <t>Business</t>
        </is>
      </c>
      <c r="F4" s="3" t="inlineStr">
        <is>
          <t>Amount ($mm)</t>
        </is>
      </c>
      <c r="G4" s="3" t="inlineStr">
        <is>
          <t>Sponsor 1</t>
        </is>
      </c>
      <c r="H4" s="3" t="inlineStr">
        <is>
          <t>Sponsor 2</t>
        </is>
      </c>
      <c r="I4" s="3" t="inlineStr">
        <is>
          <t>Sponsor 3</t>
        </is>
      </c>
      <c r="J4" s="3" t="inlineStr">
        <is>
          <t>Sponsor 4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Normal="100" workbookViewId="0">
      <selection activeCell="A1" sqref="A1"/>
    </sheetView>
  </sheetViews>
  <sheetFormatPr baseColWidth="8" defaultColWidth="8.7109375" defaultRowHeight="15"/>
  <cols>
    <col width="120" customWidth="1" min="1" max="1"/>
  </cols>
  <sheetData>
    <row r="1">
      <c r="A1" s="20" t="inlineStr">
        <is>
          <t>Notes</t>
        </is>
      </c>
    </row>
    <row r="2">
      <c r="A2" s="21" t="n"/>
    </row>
    <row r="4" ht="23.85" customHeight="1"/>
    <row r="5" ht="23.85" customHeight="1"/>
    <row r="8" ht="23.85" customHeight="1"/>
    <row r="10" ht="23.85" customHeight="1"/>
    <row r="11" ht="35.1" customHeight="1"/>
    <row r="12" ht="23.85" customHeight="1"/>
    <row r="14" ht="23.85" customHeight="1"/>
  </sheetData>
  <pageMargins left="0.75" right="0.75" top="1" bottom="1" header="0.511811023622047" footer="0.511811023622047"/>
  <pageSetup orientation="portrait" paperSize="9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9143079854A54D9892AFDB502399A0" ma:contentTypeVersion="15" ma:contentTypeDescription="Create a new document." ma:contentTypeScope="" ma:versionID="22e601a24562e73b2f5afc1046dcfba6">
  <xsd:schema xmlns:xsd="http://www.w3.org/2001/XMLSchema" xmlns:xs="http://www.w3.org/2001/XMLSchema" xmlns:p="http://schemas.microsoft.com/office/2006/metadata/properties" xmlns:ns2="7945be74-f550-42ae-be50-e20c01470fa8" xmlns:ns3="41866f6e-3c95-4ce7-90cd-084695edabd7" targetNamespace="http://schemas.microsoft.com/office/2006/metadata/properties" ma:root="true" ma:fieldsID="4c891952338fb39d319fedeac18bb4f8" ns2:_="" ns3:_="">
    <xsd:import namespace="7945be74-f550-42ae-be50-e20c01470fa8"/>
    <xsd:import namespace="41866f6e-3c95-4ce7-90cd-084695ed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5be74-f550-42ae-be50-e20c01470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9cff7-3085-437c-9583-5564e34a3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6f6e-3c95-4ce7-90cd-084695edab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dc2924a-1837-4a5f-9c22-6b8d8f490986}" ma:internalName="TaxCatchAll" ma:showField="CatchAllData" ma:web="41866f6e-3c95-4ce7-90cd-084695ed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866f6e-3c95-4ce7-90cd-084695edabd7" xsi:nil="true"/>
    <lcf76f155ced4ddcb4097134ff3c332f xmlns="7945be74-f550-42ae-be50-e20c01470f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58B36F-DD96-44C0-9ECA-066CFE6A42A0}"/>
</file>

<file path=customXml/itemProps2.xml><?xml version="1.0" encoding="utf-8"?>
<ds:datastoreItem xmlns:ds="http://schemas.openxmlformats.org/officeDocument/2006/customXml" ds:itemID="{5986D3E3-02DD-4539-9803-048841B77ED5}"/>
</file>

<file path=customXml/itemProps3.xml><?xml version="1.0" encoding="utf-8"?>
<ds:datastoreItem xmlns:ds="http://schemas.openxmlformats.org/officeDocument/2006/customXml" ds:itemID="{9A7AC32F-6FD6-4E4C-8C99-A9C89AF4BD2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2026-10-21T19:37:59Z</dcterms:created>
  <dcterms:modified xsi:type="dcterms:W3CDTF">2026-10-25T20:48:00Z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0x010100979143079854A54D9892AFDB502399A0</vt:lpwstr>
  </property>
  <property fmtid="{D5CDD505-2E9C-101B-9397-08002B2CF9AE}" pid="3" name="MediaServiceImageTags">
    <vt:lpwstr/>
  </property>
</Properties>
</file>